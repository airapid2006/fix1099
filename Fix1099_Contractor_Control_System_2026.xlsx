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or Tracker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<sst xmlns="http://schemas.openxmlformats.org/spreadsheetml/2006/main" count="41" uniqueCount="34">
  <si>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Fix1099 Contractor Dashboard</t>
  </si>
  <si>
    <t>Total Contractors:</t>
  </si>
  <si>
    <t>Total 1099 Required:</t>
  </si>
  <si>
    <t>Total Pending:</t>
  </si>
  <si>
    <t>Total Completed:</t>
  </si>
  <si>
    <t>Contractor Name</t>
  </si>
  <si>
    <t>Email</t>
  </si>
  <si>
    <t>Phone</t>
  </si>
  <si>
    <t>W-9 Received</t>
  </si>
  <si>
    <t>Contract Signed</t>
  </si>
  <si>
    <t>Total Paid 2026</t>
  </si>
  <si>
    <t>1099 Required</t>
  </si>
  <si>
    <t>1099 Filed</t>
  </si>
  <si>
    <t>Filing Status</t>
  </si>
  <si>
    <t>Risk Level</t>
  </si>
  <si>
    <t>Notes</t>
  </si>
  <si>
    <t>ABC Contracting LLC</t>
  </si>
  <si>
    <t>contact@abccontract.com</t>
  </si>
  <si>
    <t>(555) 123-4567</t>
  </si>
  <si>
    <t>YES</t>
  </si>
  <si>
    <t>Main contractor - annual retainer</t>
  </si>
  <si>
    <t>John Smith Consulting</t>
  </si>
  <si>
    <t>john@jsconsult.com</t>
  </si>
  <si>
    <t>(555) 234-5678</t>
  </si>
  <si>
    <t>NO</t>
  </si>
  <si>
    <t>One-time project - under threshold</t>
  </si>
  <si>
    <t>Tech Solutions Inc</t>
  </si>
  <si>
    <t>info@techsol.com</t>
  </si>
  <si>
    <t>(555) 345-6789</t>
  </si>
  <si>
    <t>IT support - filed 1099</t>
  </si>
  <si>
    <t>Creative Design Co</t>
  </si>
  <si>
    <t>hello@creativedesign.co</t>
  </si>
  <si>
    <t>(555) 456-7890</t>
  </si>
  <si>
    <t>Graphic design - pending contract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</si>
</sst>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8"/>
      <color rgb="FF667EEA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67EE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7E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3">
    <dxf>
      <fill>
        <patternFill>
          <bgColor rgb="FFFCE8E6"/>
        </patternFill>
      </fill>
    </dxf>
    <dxf>
      <fill>
        <patternFill>
          <bgColor rgb="FFFFF4CC"/>
        </patternFill>
      </fill>
    </dxf>
    <dxf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22.7109375" customWidth="1"/>
    <col min="2" max="2" width="28.7109375" customWidth="1"/>
    <col min="3" max="3" width="16.7109375" customWidth="1"/>
    <col min="4" max="4" width="13.7109375" customWidth="1"/>
    <col min="5" max="5" width="15.7109375" customWidth="1"/>
    <col min="6" max="6" width="16.7109375" customWidth="1"/>
    <col min="7" max="7" width="14.7109375" customWidth="1"/>
    <col min="8" max="8" width="12.7109375" customWidth="1"/>
    <col min="9" max="9" width="14.7109375" customWidth="1"/>
    <col min="10" max="10" width="11.7109375" customWidth="1"/>
    <col min="11" max="11" width="25.7109375" customWidth="1"/>
  </cols>
  <sheetData>
    <row r="1" spans="1:11" ht="24" customHeight="1">
      <c r="A1" s="1" t="s">
        <v>0</v>
      </c>
    </row>
    <row r="3" spans="1:11">
      <c r="A3" s="2" t="s">
        <v>1</v>
      </c>
      <c r="B3" s="3">
        <f>COUNTA(A7:A206)</f>
        <v>0</v>
      </c>
    </row>
    <row r="4" spans="1:11">
      <c r="A4" s="2" t="s">
        <v>2</v>
      </c>
      <c r="B4" s="3">
        <f>COUNTIF(G7:G206,"YES")</f>
        <v>0</v>
      </c>
    </row>
    <row r="5" spans="1:11">
      <c r="A5" s="2" t="s">
        <v>3</v>
      </c>
      <c r="B5" s="3">
        <f>COUNTIF(I7:I206,"Pending")</f>
        <v>0</v>
      </c>
    </row>
    <row r="6" spans="1:11" ht="20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 spans="1:11">
      <c r="A7" s="5" t="s">
        <v>16</v>
      </c>
      <c r="B7" s="5" t="s">
        <v>17</v>
      </c>
      <c r="C7" s="5" t="s">
        <v>18</v>
      </c>
      <c r="D7" s="5" t="s">
        <v>19</v>
      </c>
      <c r="E7" s="5" t="s">
        <v>19</v>
      </c>
      <c r="F7" s="6">
        <v>15000</v>
      </c>
      <c r="G7" s="5">
        <f>IF(F7&gt;=600,"YES","NO")</f>
        <v>0</v>
      </c>
      <c r="H7" s="5"/>
      <c r="I7" s="5">
        <f>IF(G7="YES",IF(H7="YES","Completed","Pending"),"Not Required")</f>
        <v>0</v>
      </c>
      <c r="J7" s="5">
        <f>IF(AND(G7="YES",H7&lt;&gt;"YES",D7&lt;&gt;"YES"),"High",IF(AND(G7="YES",H7&lt;&gt;"YES"),"Medium","Low"))</f>
        <v>0</v>
      </c>
      <c r="K7" s="5" t="s">
        <v>20</v>
      </c>
    </row>
    <row r="8" spans="1:11">
      <c r="A8" s="5" t="s">
        <v>21</v>
      </c>
      <c r="B8" s="5" t="s">
        <v>22</v>
      </c>
      <c r="C8" s="5" t="s">
        <v>23</v>
      </c>
      <c r="D8" s="5" t="s">
        <v>24</v>
      </c>
      <c r="E8" s="5" t="s">
        <v>19</v>
      </c>
      <c r="F8" s="6">
        <v>450</v>
      </c>
      <c r="G8" s="5">
        <f>IF(F8&gt;=600,"YES","NO")</f>
        <v>0</v>
      </c>
      <c r="H8" s="5"/>
      <c r="I8" s="5">
        <f>IF(G8="YES",IF(H8="YES","Completed","Pending"),"Not Required")</f>
        <v>0</v>
      </c>
      <c r="J8" s="5">
        <f>IF(AND(G8="YES",H8&lt;&gt;"YES",D8&lt;&gt;"YES"),"High",IF(AND(G8="YES",H8&lt;&gt;"YES"),"Medium","Low"))</f>
        <v>0</v>
      </c>
      <c r="K8" s="5" t="s">
        <v>25</v>
      </c>
    </row>
    <row r="9" spans="1:11">
      <c r="A9" s="5" t="s">
        <v>26</v>
      </c>
      <c r="B9" s="5" t="s">
        <v>27</v>
      </c>
      <c r="C9" s="5" t="s">
        <v>28</v>
      </c>
      <c r="D9" s="5" t="s">
        <v>19</v>
      </c>
      <c r="E9" s="5" t="s">
        <v>19</v>
      </c>
      <c r="F9" s="6">
        <v>8500</v>
      </c>
      <c r="G9" s="5">
        <f>IF(F9&gt;=600,"YES","NO")</f>
        <v>0</v>
      </c>
      <c r="H9" s="5" t="s">
        <v>19</v>
      </c>
      <c r="I9" s="5">
        <f>IF(G9="YES",IF(H9="YES","Completed","Pending"),"Not Required")</f>
        <v>0</v>
      </c>
      <c r="J9" s="5">
        <f>IF(AND(G9="YES",H9&lt;&gt;"YES",D9&lt;&gt;"YES"),"High",IF(AND(G9="YES",H9&lt;&gt;"YES"),"Medium","Low"))</f>
        <v>0</v>
      </c>
      <c r="K9" s="5" t="s">
        <v>29</v>
      </c>
    </row>
    <row r="10" spans="1:11">
      <c r="A10" s="5" t="s">
        <v>30</v>
      </c>
      <c r="B10" s="5" t="s">
        <v>31</v>
      </c>
      <c r="C10" s="5" t="s">
        <v>32</v>
      </c>
      <c r="D10" s="5" t="s">
        <v>19</v>
      </c>
      <c r="E10" s="5" t="s">
        <v>24</v>
      </c>
      <c r="F10" s="6">
        <v>3200</v>
      </c>
      <c r="G10" s="5">
        <f>IF(F10&gt;=600,"YES","NO")</f>
        <v>0</v>
      </c>
      <c r="H10" s="5"/>
      <c r="I10" s="5">
        <f>IF(G10="YES",IF(H10="YES","Completed","Pending"),"Not Required")</f>
        <v>0</v>
      </c>
      <c r="J10" s="5">
        <f>IF(AND(G10="YES",H10&lt;&gt;"YES",D10&lt;&gt;"YES"),"High",IF(AND(G10="YES",H10&lt;&gt;"YES"),"Medium","Low"))</f>
        <v>0</v>
      </c>
      <c r="K10" s="5" t="s">
        <v>33</v>
      </c>
    </row>
    <row r="11" spans="1:11">
      <c r="A11" s="5"/>
      <c r="B11" s="5"/>
      <c r="C11" s="5"/>
      <c r="D11" s="5"/>
      <c r="E11" s="5"/>
      <c r="F11" s="6"/>
      <c r="G11" s="5">
        <f>IF(F11&gt;=600,"YES","NO")</f>
        <v>0</v>
      </c>
      <c r="H11" s="5"/>
      <c r="I11" s="5">
        <f>IF(G11="YES",IF(H11="YES","Completed","Pending"),"Not Required")</f>
        <v>0</v>
      </c>
      <c r="J11" s="5">
        <f>IF(AND(G11="YES",H11&lt;&gt;"YES",D11&lt;&gt;"YES"),"High",IF(AND(G11="YES",H11&lt;&gt;"YES"),"Medium","Low"))</f>
        <v>0</v>
      </c>
      <c r="K11" s="5"/>
    </row>
    <row r="12" spans="1:11">
      <c r="A12" s="5"/>
      <c r="B12" s="5"/>
      <c r="C12" s="5"/>
      <c r="D12" s="5"/>
      <c r="E12" s="5"/>
      <c r="F12" s="6"/>
      <c r="G12" s="5">
        <f>IF(F12&gt;=600,"YES","NO")</f>
        <v>0</v>
      </c>
      <c r="H12" s="5"/>
      <c r="I12" s="5">
        <f>IF(G12="YES",IF(H12="YES","Completed","Pending"),"Not Required")</f>
        <v>0</v>
      </c>
      <c r="J12" s="5">
        <f>IF(AND(G12="YES",H12&lt;&gt;"YES",D12&lt;&gt;"YES"),"High",IF(AND(G12="YES",H12&lt;&gt;"YES"),"Medium","Low"))</f>
        <v>0</v>
      </c>
      <c r="K12" s="5"/>
    </row>
    <row r="13" spans="1:11">
      <c r="A13" s="5"/>
      <c r="B13" s="5"/>
      <c r="C13" s="5"/>
      <c r="D13" s="5"/>
      <c r="E13" s="5"/>
      <c r="F13" s="6"/>
      <c r="G13" s="5">
        <f>IF(F13&gt;=600,"YES","NO")</f>
        <v>0</v>
      </c>
      <c r="H13" s="5"/>
      <c r="I13" s="5">
        <f>IF(G13="YES",IF(H13="YES","Completed","Pending"),"Not Required")</f>
        <v>0</v>
      </c>
      <c r="J13" s="5">
        <f>IF(AND(G13="YES",H13&lt;&gt;"YES",D13&lt;&gt;"YES"),"High",IF(AND(G13="YES",H13&lt;&gt;"YES"),"Medium","Low"))</f>
        <v>0</v>
      </c>
      <c r="K13" s="5"/>
    </row>
    <row r="14" spans="1:11">
      <c r="A14" s="5"/>
      <c r="B14" s="5"/>
      <c r="C14" s="5"/>
      <c r="D14" s="5"/>
      <c r="E14" s="5"/>
      <c r="F14" s="6"/>
      <c r="G14" s="5">
        <f>IF(F14&gt;=600,"YES","NO")</f>
        <v>0</v>
      </c>
      <c r="H14" s="5"/>
      <c r="I14" s="5">
        <f>IF(G14="YES",IF(H14="YES","Completed","Pending"),"Not Required")</f>
        <v>0</v>
      </c>
      <c r="J14" s="5">
        <f>IF(AND(G14="YES",H14&lt;&gt;"YES",D14&lt;&gt;"YES"),"High",IF(AND(G14="YES",H14&lt;&gt;"YES"),"Medium","Low"))</f>
        <v>0</v>
      </c>
      <c r="K14" s="5"/>
    </row>
    <row r="15" spans="1:11">
      <c r="A15" s="5"/>
      <c r="B15" s="5"/>
      <c r="C15" s="5"/>
      <c r="D15" s="5"/>
      <c r="E15" s="5"/>
      <c r="F15" s="6"/>
      <c r="G15" s="5">
        <f>IF(F15&gt;=600,"YES","NO")</f>
        <v>0</v>
      </c>
      <c r="H15" s="5"/>
      <c r="I15" s="5">
        <f>IF(G15="YES",IF(H15="YES","Completed","Pending"),"Not Required")</f>
        <v>0</v>
      </c>
      <c r="J15" s="5">
        <f>IF(AND(G15="YES",H15&lt;&gt;"YES",D15&lt;&gt;"YES"),"High",IF(AND(G15="YES",H15&lt;&gt;"YES"),"Medium","Low"))</f>
        <v>0</v>
      </c>
      <c r="K15" s="5"/>
    </row>
    <row r="16" spans="1:11">
      <c r="A16" s="5"/>
      <c r="B16" s="5"/>
      <c r="C16" s="5"/>
      <c r="D16" s="5"/>
      <c r="E16" s="5"/>
      <c r="F16" s="6"/>
      <c r="G16" s="5">
        <f>IF(F16&gt;=600,"YES","NO")</f>
        <v>0</v>
      </c>
      <c r="H16" s="5"/>
      <c r="I16" s="5">
        <f>IF(G16="YES",IF(H16="YES","Completed","Pending"),"Not Required")</f>
        <v>0</v>
      </c>
      <c r="J16" s="5">
        <f>IF(AND(G16="YES",H16&lt;&gt;"YES",D16&lt;&gt;"YES"),"High",IF(AND(G16="YES",H16&lt;&gt;"YES"),"Medium","Low"))</f>
        <v>0</v>
      </c>
      <c r="K16" s="5"/>
    </row>
    <row r="17" spans="1:11">
      <c r="A17" s="5"/>
      <c r="B17" s="5"/>
      <c r="C17" s="5"/>
      <c r="D17" s="5"/>
      <c r="E17" s="5"/>
      <c r="F17" s="6"/>
      <c r="G17" s="5">
        <f>IF(F17&gt;=600,"YES","NO")</f>
        <v>0</v>
      </c>
      <c r="H17" s="5"/>
      <c r="I17" s="5">
        <f>IF(G17="YES",IF(H17="YES","Completed","Pending"),"Not Required")</f>
        <v>0</v>
      </c>
      <c r="J17" s="5">
        <f>IF(AND(G17="YES",H17&lt;&gt;"YES",D17&lt;&gt;"YES"),"High",IF(AND(G17="YES",H17&lt;&gt;"YES"),"Medium","Low"))</f>
        <v>0</v>
      </c>
      <c r="K17" s="5"/>
    </row>
    <row r="18" spans="1:11">
      <c r="A18" s="5"/>
      <c r="B18" s="5"/>
      <c r="C18" s="5"/>
      <c r="D18" s="5"/>
      <c r="E18" s="5"/>
      <c r="F18" s="6"/>
      <c r="G18" s="5">
        <f>IF(F18&gt;=600,"YES","NO")</f>
        <v>0</v>
      </c>
      <c r="H18" s="5"/>
      <c r="I18" s="5">
        <f>IF(G18="YES",IF(H18="YES","Completed","Pending"),"Not Required")</f>
        <v>0</v>
      </c>
      <c r="J18" s="5">
        <f>IF(AND(G18="YES",H18&lt;&gt;"YES",D18&lt;&gt;"YES"),"High",IF(AND(G18="YES",H18&lt;&gt;"YES"),"Medium","Low"))</f>
        <v>0</v>
      </c>
      <c r="K18" s="5"/>
    </row>
    <row r="19" spans="1:11">
      <c r="A19" s="5"/>
      <c r="B19" s="5"/>
      <c r="C19" s="5"/>
      <c r="D19" s="5"/>
      <c r="E19" s="5"/>
      <c r="F19" s="6"/>
      <c r="G19" s="5">
        <f>IF(F19&gt;=600,"YES","NO")</f>
        <v>0</v>
      </c>
      <c r="H19" s="5"/>
      <c r="I19" s="5">
        <f>IF(G19="YES",IF(H19="YES","Completed","Pending"),"Not Required")</f>
        <v>0</v>
      </c>
      <c r="J19" s="5">
        <f>IF(AND(G19="YES",H19&lt;&gt;"YES",D19&lt;&gt;"YES"),"High",IF(AND(G19="YES",H19&lt;&gt;"YES"),"Medium","Low"))</f>
        <v>0</v>
      </c>
      <c r="K19" s="5"/>
    </row>
    <row r="20" spans="1:11">
      <c r="A20" s="5"/>
      <c r="B20" s="5"/>
      <c r="C20" s="5"/>
      <c r="D20" s="5"/>
      <c r="E20" s="5"/>
      <c r="F20" s="6"/>
      <c r="G20" s="5">
        <f>IF(F20&gt;=600,"YES","NO")</f>
        <v>0</v>
      </c>
      <c r="H20" s="5"/>
      <c r="I20" s="5">
        <f>IF(G20="YES",IF(H20="YES","Completed","Pending"),"Not Required")</f>
        <v>0</v>
      </c>
      <c r="J20" s="5">
        <f>IF(AND(G20="YES",H20&lt;&gt;"YES",D20&lt;&gt;"YES"),"High",IF(AND(G20="YES",H20&lt;&gt;"YES"),"Medium","Low"))</f>
        <v>0</v>
      </c>
      <c r="K20" s="5"/>
    </row>
    <row r="21" spans="1:11">
      <c r="A21" s="5"/>
      <c r="B21" s="5"/>
      <c r="C21" s="5"/>
      <c r="D21" s="5"/>
      <c r="E21" s="5"/>
      <c r="F21" s="6"/>
      <c r="G21" s="5">
        <f>IF(F21&gt;=600,"YES","NO")</f>
        <v>0</v>
      </c>
      <c r="H21" s="5"/>
      <c r="I21" s="5">
        <f>IF(G21="YES",IF(H21="YES","Completed","Pending"),"Not Required")</f>
        <v>0</v>
      </c>
      <c r="J21" s="5">
        <f>IF(AND(G21="YES",H21&lt;&gt;"YES",D21&lt;&gt;"YES"),"High",IF(AND(G21="YES",H21&lt;&gt;"YES"),"Medium","Low"))</f>
        <v>0</v>
      </c>
      <c r="K21" s="5"/>
    </row>
    <row r="22" spans="1:11">
      <c r="A22" s="5"/>
      <c r="B22" s="5"/>
      <c r="C22" s="5"/>
      <c r="D22" s="5"/>
      <c r="E22" s="5"/>
      <c r="F22" s="6"/>
      <c r="G22" s="5">
        <f>IF(F22&gt;=600,"YES","NO")</f>
        <v>0</v>
      </c>
      <c r="H22" s="5"/>
      <c r="I22" s="5">
        <f>IF(G22="YES",IF(H22="YES","Completed","Pending"),"Not Required")</f>
        <v>0</v>
      </c>
      <c r="J22" s="5">
        <f>IF(AND(G22="YES",H22&lt;&gt;"YES",D22&lt;&gt;"YES"),"High",IF(AND(G22="YES",H22&lt;&gt;"YES"),"Medium","Low"))</f>
        <v>0</v>
      </c>
      <c r="K22" s="5"/>
    </row>
    <row r="23" spans="1:11">
      <c r="A23" s="5"/>
      <c r="B23" s="5"/>
      <c r="C23" s="5"/>
      <c r="D23" s="5"/>
      <c r="E23" s="5"/>
      <c r="F23" s="6"/>
      <c r="G23" s="5">
        <f>IF(F23&gt;=600,"YES","NO")</f>
        <v>0</v>
      </c>
      <c r="H23" s="5"/>
      <c r="I23" s="5">
        <f>IF(G23="YES",IF(H23="YES","Completed","Pending"),"Not Required")</f>
        <v>0</v>
      </c>
      <c r="J23" s="5">
        <f>IF(AND(G23="YES",H23&lt;&gt;"YES",D23&lt;&gt;"YES"),"High",IF(AND(G23="YES",H23&lt;&gt;"YES"),"Medium","Low"))</f>
        <v>0</v>
      </c>
      <c r="K23" s="5"/>
    </row>
    <row r="24" spans="1:11">
      <c r="A24" s="5"/>
      <c r="B24" s="5"/>
      <c r="C24" s="5"/>
      <c r="D24" s="5"/>
      <c r="E24" s="5"/>
      <c r="F24" s="6"/>
      <c r="G24" s="5">
        <f>IF(F24&gt;=600,"YES","NO")</f>
        <v>0</v>
      </c>
      <c r="H24" s="5"/>
      <c r="I24" s="5">
        <f>IF(G24="YES",IF(H24="YES","Completed","Pending"),"Not Required")</f>
        <v>0</v>
      </c>
      <c r="J24" s="5">
        <f>IF(AND(G24="YES",H24&lt;&gt;"YES",D24&lt;&gt;"YES"),"High",IF(AND(G24="YES",H24&lt;&gt;"YES"),"Medium","Low"))</f>
        <v>0</v>
      </c>
      <c r="K24" s="5"/>
    </row>
    <row r="25" spans="1:11">
      <c r="A25" s="5"/>
      <c r="B25" s="5"/>
      <c r="C25" s="5"/>
      <c r="D25" s="5"/>
      <c r="E25" s="5"/>
      <c r="F25" s="6"/>
      <c r="G25" s="5">
        <f>IF(F25&gt;=600,"YES","NO")</f>
        <v>0</v>
      </c>
      <c r="H25" s="5"/>
      <c r="I25" s="5">
        <f>IF(G25="YES",IF(H25="YES","Completed","Pending"),"Not Required")</f>
        <v>0</v>
      </c>
      <c r="J25" s="5">
        <f>IF(AND(G25="YES",H25&lt;&gt;"YES",D25&lt;&gt;"YES"),"High",IF(AND(G25="YES",H25&lt;&gt;"YES"),"Medium","Low"))</f>
        <v>0</v>
      </c>
      <c r="K25" s="5"/>
    </row>
    <row r="26" spans="1:11">
      <c r="A26" s="5"/>
      <c r="B26" s="5"/>
      <c r="C26" s="5"/>
      <c r="D26" s="5"/>
      <c r="E26" s="5"/>
      <c r="F26" s="6"/>
      <c r="G26" s="5">
        <f>IF(F26&gt;=600,"YES","NO")</f>
        <v>0</v>
      </c>
      <c r="H26" s="5"/>
      <c r="I26" s="5">
        <f>IF(G26="YES",IF(H26="YES","Completed","Pending"),"Not Required")</f>
        <v>0</v>
      </c>
      <c r="J26" s="5">
        <f>IF(AND(G26="YES",H26&lt;&gt;"YES",D26&lt;&gt;"YES"),"High",IF(AND(G26="YES",H26&lt;&gt;"YES"),"Medium","Low"))</f>
        <v>0</v>
      </c>
      <c r="K26" s="5"/>
    </row>
    <row r="27" spans="1:11">
      <c r="A27" s="5"/>
      <c r="B27" s="5"/>
      <c r="C27" s="5"/>
      <c r="D27" s="5"/>
      <c r="E27" s="5"/>
      <c r="F27" s="6"/>
      <c r="G27" s="5">
        <f>IF(F27&gt;=600,"YES","NO")</f>
        <v>0</v>
      </c>
      <c r="H27" s="5"/>
      <c r="I27" s="5">
        <f>IF(G27="YES",IF(H27="YES","Completed","Pending"),"Not Required")</f>
        <v>0</v>
      </c>
      <c r="J27" s="5">
        <f>IF(AND(G27="YES",H27&lt;&gt;"YES",D27&lt;&gt;"YES"),"High",IF(AND(G27="YES",H27&lt;&gt;"YES"),"Medium","Low"))</f>
        <v>0</v>
      </c>
      <c r="K27" s="5"/>
    </row>
    <row r="28" spans="1:11">
      <c r="A28" s="5"/>
      <c r="B28" s="5"/>
      <c r="C28" s="5"/>
      <c r="D28" s="5"/>
      <c r="E28" s="5"/>
      <c r="F28" s="6"/>
      <c r="G28" s="5">
        <f>IF(F28&gt;=600,"YES","NO")</f>
        <v>0</v>
      </c>
      <c r="H28" s="5"/>
      <c r="I28" s="5">
        <f>IF(G28="YES",IF(H28="YES","Completed","Pending"),"Not Required")</f>
        <v>0</v>
      </c>
      <c r="J28" s="5">
        <f>IF(AND(G28="YES",H28&lt;&gt;"YES",D28&lt;&gt;"YES"),"High",IF(AND(G28="YES",H28&lt;&gt;"YES"),"Medium","Low"))</f>
        <v>0</v>
      </c>
      <c r="K28" s="5"/>
    </row>
    <row r="29" spans="1:11">
      <c r="A29" s="5"/>
      <c r="B29" s="5"/>
      <c r="C29" s="5"/>
      <c r="D29" s="5"/>
      <c r="E29" s="5"/>
      <c r="F29" s="6"/>
      <c r="G29" s="5">
        <f>IF(F29&gt;=600,"YES","NO")</f>
        <v>0</v>
      </c>
      <c r="H29" s="5"/>
      <c r="I29" s="5">
        <f>IF(G29="YES",IF(H29="YES","Completed","Pending"),"Not Required")</f>
        <v>0</v>
      </c>
      <c r="J29" s="5">
        <f>IF(AND(G29="YES",H29&lt;&gt;"YES",D29&lt;&gt;"YES"),"High",IF(AND(G29="YES",H29&lt;&gt;"YES"),"Medium","Low"))</f>
        <v>0</v>
      </c>
      <c r="K29" s="5"/>
    </row>
    <row r="30" spans="1:11">
      <c r="A30" s="5"/>
      <c r="B30" s="5"/>
      <c r="C30" s="5"/>
      <c r="D30" s="5"/>
      <c r="E30" s="5"/>
      <c r="F30" s="6"/>
      <c r="G30" s="5">
        <f>IF(F30&gt;=600,"YES","NO")</f>
        <v>0</v>
      </c>
      <c r="H30" s="5"/>
      <c r="I30" s="5">
        <f>IF(G30="YES",IF(H30="YES","Completed","Pending"),"Not Required")</f>
        <v>0</v>
      </c>
      <c r="J30" s="5">
        <f>IF(AND(G30="YES",H30&lt;&gt;"YES",D30&lt;&gt;"YES"),"High",IF(AND(G30="YES",H30&lt;&gt;"YES"),"Medium","Low"))</f>
        <v>0</v>
      </c>
      <c r="K30" s="5"/>
    </row>
    <row r="31" spans="1:11">
      <c r="A31" s="5"/>
      <c r="B31" s="5"/>
      <c r="C31" s="5"/>
      <c r="D31" s="5"/>
      <c r="E31" s="5"/>
      <c r="F31" s="6"/>
      <c r="G31" s="5">
        <f>IF(F31&gt;=600,"YES","NO")</f>
        <v>0</v>
      </c>
      <c r="H31" s="5"/>
      <c r="I31" s="5">
        <f>IF(G31="YES",IF(H31="YES","Completed","Pending"),"Not Required")</f>
        <v>0</v>
      </c>
      <c r="J31" s="5">
        <f>IF(AND(G31="YES",H31&lt;&gt;"YES",D31&lt;&gt;"YES"),"High",IF(AND(G31="YES",H31&lt;&gt;"YES"),"Medium","Low"))</f>
        <v>0</v>
      </c>
      <c r="K31" s="5"/>
    </row>
    <row r="32" spans="1:11">
      <c r="A32" s="5"/>
      <c r="B32" s="5"/>
      <c r="C32" s="5"/>
      <c r="D32" s="5"/>
      <c r="E32" s="5"/>
      <c r="F32" s="6"/>
      <c r="G32" s="5">
        <f>IF(F32&gt;=600,"YES","NO")</f>
        <v>0</v>
      </c>
      <c r="H32" s="5"/>
      <c r="I32" s="5">
        <f>IF(G32="YES",IF(H32="YES","Completed","Pending"),"Not Required")</f>
        <v>0</v>
      </c>
      <c r="J32" s="5">
        <f>IF(AND(G32="YES",H32&lt;&gt;"YES",D32&lt;&gt;"YES"),"High",IF(AND(G32="YES",H32&lt;&gt;"YES"),"Medium","Low"))</f>
        <v>0</v>
      </c>
      <c r="K32" s="5"/>
    </row>
    <row r="33" spans="1:11">
      <c r="A33" s="5"/>
      <c r="B33" s="5"/>
      <c r="C33" s="5"/>
      <c r="D33" s="5"/>
      <c r="E33" s="5"/>
      <c r="F33" s="6"/>
      <c r="G33" s="5">
        <f>IF(F33&gt;=600,"YES","NO")</f>
        <v>0</v>
      </c>
      <c r="H33" s="5"/>
      <c r="I33" s="5">
        <f>IF(G33="YES",IF(H33="YES","Completed","Pending"),"Not Required")</f>
        <v>0</v>
      </c>
      <c r="J33" s="5">
        <f>IF(AND(G33="YES",H33&lt;&gt;"YES",D33&lt;&gt;"YES"),"High",IF(AND(G33="YES",H33&lt;&gt;"YES"),"Medium","Low"))</f>
        <v>0</v>
      </c>
      <c r="K33" s="5"/>
    </row>
    <row r="34" spans="1:11">
      <c r="A34" s="5"/>
      <c r="B34" s="5"/>
      <c r="C34" s="5"/>
      <c r="D34" s="5"/>
      <c r="E34" s="5"/>
      <c r="F34" s="6"/>
      <c r="G34" s="5">
        <f>IF(F34&gt;=600,"YES","NO")</f>
        <v>0</v>
      </c>
      <c r="H34" s="5"/>
      <c r="I34" s="5">
        <f>IF(G34="YES",IF(H34="YES","Completed","Pending"),"Not Required")</f>
        <v>0</v>
      </c>
      <c r="J34" s="5">
        <f>IF(AND(G34="YES",H34&lt;&gt;"YES",D34&lt;&gt;"YES"),"High",IF(AND(G34="YES",H34&lt;&gt;"YES"),"Medium","Low"))</f>
        <v>0</v>
      </c>
      <c r="K34" s="5"/>
    </row>
    <row r="35" spans="1:11">
      <c r="A35" s="5"/>
      <c r="B35" s="5"/>
      <c r="C35" s="5"/>
      <c r="D35" s="5"/>
      <c r="E35" s="5"/>
      <c r="F35" s="6"/>
      <c r="G35" s="5">
        <f>IF(F35&gt;=600,"YES","NO")</f>
        <v>0</v>
      </c>
      <c r="H35" s="5"/>
      <c r="I35" s="5">
        <f>IF(G35="YES",IF(H35="YES","Completed","Pending"),"Not Required")</f>
        <v>0</v>
      </c>
      <c r="J35" s="5">
        <f>IF(AND(G35="YES",H35&lt;&gt;"YES",D35&lt;&gt;"YES"),"High",IF(AND(G35="YES",H35&lt;&gt;"YES"),"Medium","Low"))</f>
        <v>0</v>
      </c>
      <c r="K35" s="5"/>
    </row>
    <row r="36" spans="1:11">
      <c r="A36" s="5"/>
      <c r="B36" s="5"/>
      <c r="C36" s="5"/>
      <c r="D36" s="5"/>
      <c r="E36" s="5"/>
      <c r="F36" s="6"/>
      <c r="G36" s="5">
        <f>IF(F36&gt;=600,"YES","NO")</f>
        <v>0</v>
      </c>
      <c r="H36" s="5"/>
      <c r="I36" s="5">
        <f>IF(G36="YES",IF(H36="YES","Completed","Pending"),"Not Required")</f>
        <v>0</v>
      </c>
      <c r="J36" s="5">
        <f>IF(AND(G36="YES",H36&lt;&gt;"YES",D36&lt;&gt;"YES"),"High",IF(AND(G36="YES",H36&lt;&gt;"YES"),"Medium","Low"))</f>
        <v>0</v>
      </c>
      <c r="K36" s="5"/>
    </row>
    <row r="37" spans="1:11">
      <c r="A37" s="5"/>
      <c r="B37" s="5"/>
      <c r="C37" s="5"/>
      <c r="D37" s="5"/>
      <c r="E37" s="5"/>
      <c r="F37" s="6"/>
      <c r="G37" s="5">
        <f>IF(F37&gt;=600,"YES","NO")</f>
        <v>0</v>
      </c>
      <c r="H37" s="5"/>
      <c r="I37" s="5">
        <f>IF(G37="YES",IF(H37="YES","Completed","Pending"),"Not Required")</f>
        <v>0</v>
      </c>
      <c r="J37" s="5">
        <f>IF(AND(G37="YES",H37&lt;&gt;"YES",D37&lt;&gt;"YES"),"High",IF(AND(G37="YES",H37&lt;&gt;"YES"),"Medium","Low"))</f>
        <v>0</v>
      </c>
      <c r="K37" s="5"/>
    </row>
    <row r="38" spans="1:11">
      <c r="A38" s="5"/>
      <c r="B38" s="5"/>
      <c r="C38" s="5"/>
      <c r="D38" s="5"/>
      <c r="E38" s="5"/>
      <c r="F38" s="6"/>
      <c r="G38" s="5">
        <f>IF(F38&gt;=600,"YES","NO")</f>
        <v>0</v>
      </c>
      <c r="H38" s="5"/>
      <c r="I38" s="5">
        <f>IF(G38="YES",IF(H38="YES","Completed","Pending"),"Not Required")</f>
        <v>0</v>
      </c>
      <c r="J38" s="5">
        <f>IF(AND(G38="YES",H38&lt;&gt;"YES",D38&lt;&gt;"YES"),"High",IF(AND(G38="YES",H38&lt;&gt;"YES"),"Medium","Low"))</f>
        <v>0</v>
      </c>
      <c r="K38" s="5"/>
    </row>
    <row r="39" spans="1:11">
      <c r="A39" s="5"/>
      <c r="B39" s="5"/>
      <c r="C39" s="5"/>
      <c r="D39" s="5"/>
      <c r="E39" s="5"/>
      <c r="F39" s="6"/>
      <c r="G39" s="5">
        <f>IF(F39&gt;=600,"YES","NO")</f>
        <v>0</v>
      </c>
      <c r="H39" s="5"/>
      <c r="I39" s="5">
        <f>IF(G39="YES",IF(H39="YES","Completed","Pending"),"Not Required")</f>
        <v>0</v>
      </c>
      <c r="J39" s="5">
        <f>IF(AND(G39="YES",H39&lt;&gt;"YES",D39&lt;&gt;"YES"),"High",IF(AND(G39="YES",H39&lt;&gt;"YES"),"Medium","Low"))</f>
        <v>0</v>
      </c>
      <c r="K39" s="5"/>
    </row>
    <row r="40" spans="1:11">
      <c r="A40" s="5"/>
      <c r="B40" s="5"/>
      <c r="C40" s="5"/>
      <c r="D40" s="5"/>
      <c r="E40" s="5"/>
      <c r="F40" s="6"/>
      <c r="G40" s="5">
        <f>IF(F40&gt;=600,"YES","NO")</f>
        <v>0</v>
      </c>
      <c r="H40" s="5"/>
      <c r="I40" s="5">
        <f>IF(G40="YES",IF(H40="YES","Completed","Pending"),"Not Required")</f>
        <v>0</v>
      </c>
      <c r="J40" s="5">
        <f>IF(AND(G40="YES",H40&lt;&gt;"YES",D40&lt;&gt;"YES"),"High",IF(AND(G40="YES",H40&lt;&gt;"YES"),"Medium","Low"))</f>
        <v>0</v>
      </c>
      <c r="K40" s="5"/>
    </row>
    <row r="41" spans="1:11">
      <c r="A41" s="5"/>
      <c r="B41" s="5"/>
      <c r="C41" s="5"/>
      <c r="D41" s="5"/>
      <c r="E41" s="5"/>
      <c r="F41" s="6"/>
      <c r="G41" s="5">
        <f>IF(F41&gt;=600,"YES","NO")</f>
        <v>0</v>
      </c>
      <c r="H41" s="5"/>
      <c r="I41" s="5">
        <f>IF(G41="YES",IF(H41="YES","Completed","Pending"),"Not Required")</f>
        <v>0</v>
      </c>
      <c r="J41" s="5">
        <f>IF(AND(G41="YES",H41&lt;&gt;"YES",D41&lt;&gt;"YES"),"High",IF(AND(G41="YES",H41&lt;&gt;"YES"),"Medium","Low"))</f>
        <v>0</v>
      </c>
      <c r="K41" s="5"/>
    </row>
    <row r="42" spans="1:11">
      <c r="A42" s="5"/>
      <c r="B42" s="5"/>
      <c r="C42" s="5"/>
      <c r="D42" s="5"/>
      <c r="E42" s="5"/>
      <c r="F42" s="6"/>
      <c r="G42" s="5">
        <f>IF(F42&gt;=600,"YES","NO")</f>
        <v>0</v>
      </c>
      <c r="H42" s="5"/>
      <c r="I42" s="5">
        <f>IF(G42="YES",IF(H42="YES","Completed","Pending"),"Not Required")</f>
        <v>0</v>
      </c>
      <c r="J42" s="5">
        <f>IF(AND(G42="YES",H42&lt;&gt;"YES",D42&lt;&gt;"YES"),"High",IF(AND(G42="YES",H42&lt;&gt;"YES"),"Medium","Low"))</f>
        <v>0</v>
      </c>
      <c r="K42" s="5"/>
    </row>
    <row r="43" spans="1:11">
      <c r="A43" s="5"/>
      <c r="B43" s="5"/>
      <c r="C43" s="5"/>
      <c r="D43" s="5"/>
      <c r="E43" s="5"/>
      <c r="F43" s="6"/>
      <c r="G43" s="5">
        <f>IF(F43&gt;=600,"YES","NO")</f>
        <v>0</v>
      </c>
      <c r="H43" s="5"/>
      <c r="I43" s="5">
        <f>IF(G43="YES",IF(H43="YES","Completed","Pending"),"Not Required")</f>
        <v>0</v>
      </c>
      <c r="J43" s="5">
        <f>IF(AND(G43="YES",H43&lt;&gt;"YES",D43&lt;&gt;"YES"),"High",IF(AND(G43="YES",H43&lt;&gt;"YES"),"Medium","Low"))</f>
        <v>0</v>
      </c>
      <c r="K43" s="5"/>
    </row>
    <row r="44" spans="1:11">
      <c r="A44" s="5"/>
      <c r="B44" s="5"/>
      <c r="C44" s="5"/>
      <c r="D44" s="5"/>
      <c r="E44" s="5"/>
      <c r="F44" s="6"/>
      <c r="G44" s="5">
        <f>IF(F44&gt;=600,"YES","NO")</f>
        <v>0</v>
      </c>
      <c r="H44" s="5"/>
      <c r="I44" s="5">
        <f>IF(G44="YES",IF(H44="YES","Completed","Pending"),"Not Required")</f>
        <v>0</v>
      </c>
      <c r="J44" s="5">
        <f>IF(AND(G44="YES",H44&lt;&gt;"YES",D44&lt;&gt;"YES"),"High",IF(AND(G44="YES",H44&lt;&gt;"YES"),"Medium","Low"))</f>
        <v>0</v>
      </c>
      <c r="K44" s="5"/>
    </row>
    <row r="45" spans="1:11">
      <c r="A45" s="5"/>
      <c r="B45" s="5"/>
      <c r="C45" s="5"/>
      <c r="D45" s="5"/>
      <c r="E45" s="5"/>
      <c r="F45" s="6"/>
      <c r="G45" s="5">
        <f>IF(F45&gt;=600,"YES","NO")</f>
        <v>0</v>
      </c>
      <c r="H45" s="5"/>
      <c r="I45" s="5">
        <f>IF(G45="YES",IF(H45="YES","Completed","Pending"),"Not Required")</f>
        <v>0</v>
      </c>
      <c r="J45" s="5">
        <f>IF(AND(G45="YES",H45&lt;&gt;"YES",D45&lt;&gt;"YES"),"High",IF(AND(G45="YES",H45&lt;&gt;"YES"),"Medium","Low"))</f>
        <v>0</v>
      </c>
      <c r="K45" s="5"/>
    </row>
    <row r="46" spans="1:11">
      <c r="A46" s="5"/>
      <c r="B46" s="5"/>
      <c r="C46" s="5"/>
      <c r="D46" s="5"/>
      <c r="E46" s="5"/>
      <c r="F46" s="6"/>
      <c r="G46" s="5">
        <f>IF(F46&gt;=600,"YES","NO")</f>
        <v>0</v>
      </c>
      <c r="H46" s="5"/>
      <c r="I46" s="5">
        <f>IF(G46="YES",IF(H46="YES","Completed","Pending"),"Not Required")</f>
        <v>0</v>
      </c>
      <c r="J46" s="5">
        <f>IF(AND(G46="YES",H46&lt;&gt;"YES",D46&lt;&gt;"YES"),"High",IF(AND(G46="YES",H46&lt;&gt;"YES"),"Medium","Low"))</f>
        <v>0</v>
      </c>
      <c r="K46" s="5"/>
    </row>
    <row r="47" spans="1:11">
      <c r="A47" s="5"/>
      <c r="B47" s="5"/>
      <c r="C47" s="5"/>
      <c r="D47" s="5"/>
      <c r="E47" s="5"/>
      <c r="F47" s="6"/>
      <c r="G47" s="5">
        <f>IF(F47&gt;=600,"YES","NO")</f>
        <v>0</v>
      </c>
      <c r="H47" s="5"/>
      <c r="I47" s="5">
        <f>IF(G47="YES",IF(H47="YES","Completed","Pending"),"Not Required")</f>
        <v>0</v>
      </c>
      <c r="J47" s="5">
        <f>IF(AND(G47="YES",H47&lt;&gt;"YES",D47&lt;&gt;"YES"),"High",IF(AND(G47="YES",H47&lt;&gt;"YES"),"Medium","Low"))</f>
        <v>0</v>
      </c>
      <c r="K47" s="5"/>
    </row>
    <row r="48" spans="1:11">
      <c r="A48" s="5"/>
      <c r="B48" s="5"/>
      <c r="C48" s="5"/>
      <c r="D48" s="5"/>
      <c r="E48" s="5"/>
      <c r="F48" s="6"/>
      <c r="G48" s="5">
        <f>IF(F48&gt;=600,"YES","NO")</f>
        <v>0</v>
      </c>
      <c r="H48" s="5"/>
      <c r="I48" s="5">
        <f>IF(G48="YES",IF(H48="YES","Completed","Pending"),"Not Required")</f>
        <v>0</v>
      </c>
      <c r="J48" s="5">
        <f>IF(AND(G48="YES",H48&lt;&gt;"YES",D48&lt;&gt;"YES"),"High",IF(AND(G48="YES",H48&lt;&gt;"YES"),"Medium","Low"))</f>
        <v>0</v>
      </c>
      <c r="K48" s="5"/>
    </row>
    <row r="49" spans="1:11">
      <c r="A49" s="5"/>
      <c r="B49" s="5"/>
      <c r="C49" s="5"/>
      <c r="D49" s="5"/>
      <c r="E49" s="5"/>
      <c r="F49" s="6"/>
      <c r="G49" s="5">
        <f>IF(F49&gt;=600,"YES","NO")</f>
        <v>0</v>
      </c>
      <c r="H49" s="5"/>
      <c r="I49" s="5">
        <f>IF(G49="YES",IF(H49="YES","Completed","Pending"),"Not Required")</f>
        <v>0</v>
      </c>
      <c r="J49" s="5">
        <f>IF(AND(G49="YES",H49&lt;&gt;"YES",D49&lt;&gt;"YES"),"High",IF(AND(G49="YES",H49&lt;&gt;"YES"),"Medium","Low"))</f>
        <v>0</v>
      </c>
      <c r="K49" s="5"/>
    </row>
    <row r="50" spans="1:11">
      <c r="A50" s="5"/>
      <c r="B50" s="5"/>
      <c r="C50" s="5"/>
      <c r="D50" s="5"/>
      <c r="E50" s="5"/>
      <c r="F50" s="6"/>
      <c r="G50" s="5">
        <f>IF(F50&gt;=600,"YES","NO")</f>
        <v>0</v>
      </c>
      <c r="H50" s="5"/>
      <c r="I50" s="5">
        <f>IF(G50="YES",IF(H50="YES","Completed","Pending"),"Not Required")</f>
        <v>0</v>
      </c>
      <c r="J50" s="5">
        <f>IF(AND(G50="YES",H50&lt;&gt;"YES",D50&lt;&gt;"YES"),"High",IF(AND(G50="YES",H50&lt;&gt;"YES"),"Medium","Low"))</f>
        <v>0</v>
      </c>
      <c r="K50" s="5"/>
    </row>
    <row r="51" spans="1:11">
      <c r="A51" s="5"/>
      <c r="B51" s="5"/>
      <c r="C51" s="5"/>
      <c r="D51" s="5"/>
      <c r="E51" s="5"/>
      <c r="F51" s="6"/>
      <c r="G51" s="5">
        <f>IF(F51&gt;=600,"YES","NO")</f>
        <v>0</v>
      </c>
      <c r="H51" s="5"/>
      <c r="I51" s="5">
        <f>IF(G51="YES",IF(H51="YES","Completed","Pending"),"Not Required")</f>
        <v>0</v>
      </c>
      <c r="J51" s="5">
        <f>IF(AND(G51="YES",H51&lt;&gt;"YES",D51&lt;&gt;"YES"),"High",IF(AND(G51="YES",H51&lt;&gt;"YES"),"Medium","Low"))</f>
        <v>0</v>
      </c>
      <c r="K51" s="5"/>
    </row>
    <row r="52" spans="1:11">
      <c r="A52" s="5"/>
      <c r="B52" s="5"/>
      <c r="C52" s="5"/>
      <c r="D52" s="5"/>
      <c r="E52" s="5"/>
      <c r="F52" s="6"/>
      <c r="G52" s="5">
        <f>IF(F52&gt;=600,"YES","NO")</f>
        <v>0</v>
      </c>
      <c r="H52" s="5"/>
      <c r="I52" s="5">
        <f>IF(G52="YES",IF(H52="YES","Completed","Pending"),"Not Required")</f>
        <v>0</v>
      </c>
      <c r="J52" s="5">
        <f>IF(AND(G52="YES",H52&lt;&gt;"YES",D52&lt;&gt;"YES"),"High",IF(AND(G52="YES",H52&lt;&gt;"YES"),"Medium","Low"))</f>
        <v>0</v>
      </c>
      <c r="K52" s="5"/>
    </row>
    <row r="53" spans="1:11">
      <c r="A53" s="5"/>
      <c r="B53" s="5"/>
      <c r="C53" s="5"/>
      <c r="D53" s="5"/>
      <c r="E53" s="5"/>
      <c r="F53" s="6"/>
      <c r="G53" s="5">
        <f>IF(F53&gt;=600,"YES","NO")</f>
        <v>0</v>
      </c>
      <c r="H53" s="5"/>
      <c r="I53" s="5">
        <f>IF(G53="YES",IF(H53="YES","Completed","Pending"),"Not Required")</f>
        <v>0</v>
      </c>
      <c r="J53" s="5">
        <f>IF(AND(G53="YES",H53&lt;&gt;"YES",D53&lt;&gt;"YES"),"High",IF(AND(G53="YES",H53&lt;&gt;"YES"),"Medium","Low"))</f>
        <v>0</v>
      </c>
      <c r="K53" s="5"/>
    </row>
    <row r="54" spans="1:11">
      <c r="A54" s="5"/>
      <c r="B54" s="5"/>
      <c r="C54" s="5"/>
      <c r="D54" s="5"/>
      <c r="E54" s="5"/>
      <c r="F54" s="6"/>
      <c r="G54" s="5">
        <f>IF(F54&gt;=600,"YES","NO")</f>
        <v>0</v>
      </c>
      <c r="H54" s="5"/>
      <c r="I54" s="5">
        <f>IF(G54="YES",IF(H54="YES","Completed","Pending"),"Not Required")</f>
        <v>0</v>
      </c>
      <c r="J54" s="5">
        <f>IF(AND(G54="YES",H54&lt;&gt;"YES",D54&lt;&gt;"YES"),"High",IF(AND(G54="YES",H54&lt;&gt;"YES"),"Medium","Low"))</f>
        <v>0</v>
      </c>
      <c r="K54" s="5"/>
    </row>
    <row r="55" spans="1:11">
      <c r="A55" s="5"/>
      <c r="B55" s="5"/>
      <c r="C55" s="5"/>
      <c r="D55" s="5"/>
      <c r="E55" s="5"/>
      <c r="F55" s="6"/>
      <c r="G55" s="5">
        <f>IF(F55&gt;=600,"YES","NO")</f>
        <v>0</v>
      </c>
      <c r="H55" s="5"/>
      <c r="I55" s="5">
        <f>IF(G55="YES",IF(H55="YES","Completed","Pending"),"Not Required")</f>
        <v>0</v>
      </c>
      <c r="J55" s="5">
        <f>IF(AND(G55="YES",H55&lt;&gt;"YES",D55&lt;&gt;"YES"),"High",IF(AND(G55="YES",H55&lt;&gt;"YES"),"Medium","Low"))</f>
        <v>0</v>
      </c>
      <c r="K55" s="5"/>
    </row>
    <row r="56" spans="1:11">
      <c r="A56" s="5"/>
      <c r="B56" s="5"/>
      <c r="C56" s="5"/>
      <c r="D56" s="5"/>
      <c r="E56" s="5"/>
      <c r="F56" s="6"/>
      <c r="G56" s="5">
        <f>IF(F56&gt;=600,"YES","NO")</f>
        <v>0</v>
      </c>
      <c r="H56" s="5"/>
      <c r="I56" s="5">
        <f>IF(G56="YES",IF(H56="YES","Completed","Pending"),"Not Required")</f>
        <v>0</v>
      </c>
      <c r="J56" s="5">
        <f>IF(AND(G56="YES",H56&lt;&gt;"YES",D56&lt;&gt;"YES"),"High",IF(AND(G56="YES",H56&lt;&gt;"YES"),"Medium","Low"))</f>
        <v>0</v>
      </c>
      <c r="K56" s="5"/>
    </row>
    <row r="57" spans="1:11">
      <c r="A57" s="5"/>
      <c r="B57" s="5"/>
      <c r="C57" s="5"/>
      <c r="D57" s="5"/>
      <c r="E57" s="5"/>
      <c r="F57" s="6"/>
      <c r="G57" s="5">
        <f>IF(F57&gt;=600,"YES","NO")</f>
        <v>0</v>
      </c>
      <c r="H57" s="5"/>
      <c r="I57" s="5">
        <f>IF(G57="YES",IF(H57="YES","Completed","Pending"),"Not Required")</f>
        <v>0</v>
      </c>
      <c r="J57" s="5">
        <f>IF(AND(G57="YES",H57&lt;&gt;"YES",D57&lt;&gt;"YES"),"High",IF(AND(G57="YES",H57&lt;&gt;"YES"),"Medium","Low"))</f>
        <v>0</v>
      </c>
      <c r="K57" s="5"/>
    </row>
    <row r="58" spans="1:11">
      <c r="A58" s="5"/>
      <c r="B58" s="5"/>
      <c r="C58" s="5"/>
      <c r="D58" s="5"/>
      <c r="E58" s="5"/>
      <c r="F58" s="6"/>
      <c r="G58" s="5">
        <f>IF(F58&gt;=600,"YES","NO")</f>
        <v>0</v>
      </c>
      <c r="H58" s="5"/>
      <c r="I58" s="5">
        <f>IF(G58="YES",IF(H58="YES","Completed","Pending"),"Not Required")</f>
        <v>0</v>
      </c>
      <c r="J58" s="5">
        <f>IF(AND(G58="YES",H58&lt;&gt;"YES",D58&lt;&gt;"YES"),"High",IF(AND(G58="YES",H58&lt;&gt;"YES"),"Medium","Low"))</f>
        <v>0</v>
      </c>
      <c r="K58" s="5"/>
    </row>
    <row r="59" spans="1:11">
      <c r="A59" s="5"/>
      <c r="B59" s="5"/>
      <c r="C59" s="5"/>
      <c r="D59" s="5"/>
      <c r="E59" s="5"/>
      <c r="F59" s="6"/>
      <c r="G59" s="5">
        <f>IF(F59&gt;=600,"YES","NO")</f>
        <v>0</v>
      </c>
      <c r="H59" s="5"/>
      <c r="I59" s="5">
        <f>IF(G59="YES",IF(H59="YES","Completed","Pending"),"Not Required")</f>
        <v>0</v>
      </c>
      <c r="J59" s="5">
        <f>IF(AND(G59="YES",H59&lt;&gt;"YES",D59&lt;&gt;"YES"),"High",IF(AND(G59="YES",H59&lt;&gt;"YES"),"Medium","Low"))</f>
        <v>0</v>
      </c>
      <c r="K59" s="5"/>
    </row>
    <row r="60" spans="1:11">
      <c r="A60" s="5"/>
      <c r="B60" s="5"/>
      <c r="C60" s="5"/>
      <c r="D60" s="5"/>
      <c r="E60" s="5"/>
      <c r="F60" s="6"/>
      <c r="G60" s="5">
        <f>IF(F60&gt;=600,"YES","NO")</f>
        <v>0</v>
      </c>
      <c r="H60" s="5"/>
      <c r="I60" s="5">
        <f>IF(G60="YES",IF(H60="YES","Completed","Pending"),"Not Required")</f>
        <v>0</v>
      </c>
      <c r="J60" s="5">
        <f>IF(AND(G60="YES",H60&lt;&gt;"YES",D60&lt;&gt;"YES"),"High",IF(AND(G60="YES",H60&lt;&gt;"YES"),"Medium","Low"))</f>
        <v>0</v>
      </c>
      <c r="K60" s="5"/>
    </row>
    <row r="61" spans="1:11">
      <c r="A61" s="5"/>
      <c r="B61" s="5"/>
      <c r="C61" s="5"/>
      <c r="D61" s="5"/>
      <c r="E61" s="5"/>
      <c r="F61" s="6"/>
      <c r="G61" s="5">
        <f>IF(F61&gt;=600,"YES","NO")</f>
        <v>0</v>
      </c>
      <c r="H61" s="5"/>
      <c r="I61" s="5">
        <f>IF(G61="YES",IF(H61="YES","Completed","Pending"),"Not Required")</f>
        <v>0</v>
      </c>
      <c r="J61" s="5">
        <f>IF(AND(G61="YES",H61&lt;&gt;"YES",D61&lt;&gt;"YES"),"High",IF(AND(G61="YES",H61&lt;&gt;"YES"),"Medium","Low"))</f>
        <v>0</v>
      </c>
      <c r="K61" s="5"/>
    </row>
    <row r="62" spans="1:11">
      <c r="A62" s="5"/>
      <c r="B62" s="5"/>
      <c r="C62" s="5"/>
      <c r="D62" s="5"/>
      <c r="E62" s="5"/>
      <c r="F62" s="6"/>
      <c r="G62" s="5">
        <f>IF(F62&gt;=600,"YES","NO")</f>
        <v>0</v>
      </c>
      <c r="H62" s="5"/>
      <c r="I62" s="5">
        <f>IF(G62="YES",IF(H62="YES","Completed","Pending"),"Not Required")</f>
        <v>0</v>
      </c>
      <c r="J62" s="5">
        <f>IF(AND(G62="YES",H62&lt;&gt;"YES",D62&lt;&gt;"YES"),"High",IF(AND(G62="YES",H62&lt;&gt;"YES"),"Medium","Low"))</f>
        <v>0</v>
      </c>
      <c r="K62" s="5"/>
    </row>
    <row r="63" spans="1:11">
      <c r="A63" s="5"/>
      <c r="B63" s="5"/>
      <c r="C63" s="5"/>
      <c r="D63" s="5"/>
      <c r="E63" s="5"/>
      <c r="F63" s="6"/>
      <c r="G63" s="5">
        <f>IF(F63&gt;=600,"YES","NO")</f>
        <v>0</v>
      </c>
      <c r="H63" s="5"/>
      <c r="I63" s="5">
        <f>IF(G63="YES",IF(H63="YES","Completed","Pending"),"Not Required")</f>
        <v>0</v>
      </c>
      <c r="J63" s="5">
        <f>IF(AND(G63="YES",H63&lt;&gt;"YES",D63&lt;&gt;"YES"),"High",IF(AND(G63="YES",H63&lt;&gt;"YES"),"Medium","Low"))</f>
        <v>0</v>
      </c>
      <c r="K63" s="5"/>
    </row>
    <row r="64" spans="1:11">
      <c r="A64" s="5"/>
      <c r="B64" s="5"/>
      <c r="C64" s="5"/>
      <c r="D64" s="5"/>
      <c r="E64" s="5"/>
      <c r="F64" s="6"/>
      <c r="G64" s="5">
        <f>IF(F64&gt;=600,"YES","NO")</f>
        <v>0</v>
      </c>
      <c r="H64" s="5"/>
      <c r="I64" s="5">
        <f>IF(G64="YES",IF(H64="YES","Completed","Pending"),"Not Required")</f>
        <v>0</v>
      </c>
      <c r="J64" s="5">
        <f>IF(AND(G64="YES",H64&lt;&gt;"YES",D64&lt;&gt;"YES"),"High",IF(AND(G64="YES",H64&lt;&gt;"YES"),"Medium","Low"))</f>
        <v>0</v>
      </c>
      <c r="K64" s="5"/>
    </row>
    <row r="65" spans="1:11">
      <c r="A65" s="5"/>
      <c r="B65" s="5"/>
      <c r="C65" s="5"/>
      <c r="D65" s="5"/>
      <c r="E65" s="5"/>
      <c r="F65" s="6"/>
      <c r="G65" s="5">
        <f>IF(F65&gt;=600,"YES","NO")</f>
        <v>0</v>
      </c>
      <c r="H65" s="5"/>
      <c r="I65" s="5">
        <f>IF(G65="YES",IF(H65="YES","Completed","Pending"),"Not Required")</f>
        <v>0</v>
      </c>
      <c r="J65" s="5">
        <f>IF(AND(G65="YES",H65&lt;&gt;"YES",D65&lt;&gt;"YES"),"High",IF(AND(G65="YES",H65&lt;&gt;"YES"),"Medium","Low"))</f>
        <v>0</v>
      </c>
      <c r="K65" s="5"/>
    </row>
    <row r="66" spans="1:11">
      <c r="A66" s="5"/>
      <c r="B66" s="5"/>
      <c r="C66" s="5"/>
      <c r="D66" s="5"/>
      <c r="E66" s="5"/>
      <c r="F66" s="6"/>
      <c r="G66" s="5">
        <f>IF(F66&gt;=600,"YES","NO")</f>
        <v>0</v>
      </c>
      <c r="H66" s="5"/>
      <c r="I66" s="5">
        <f>IF(G66="YES",IF(H66="YES","Completed","Pending"),"Not Required")</f>
        <v>0</v>
      </c>
      <c r="J66" s="5">
        <f>IF(AND(G66="YES",H66&lt;&gt;"YES",D66&lt;&gt;"YES"),"High",IF(AND(G66="YES",H66&lt;&gt;"YES"),"Medium","Low"))</f>
        <v>0</v>
      </c>
      <c r="K66" s="5"/>
    </row>
    <row r="67" spans="1:11">
      <c r="A67" s="5"/>
      <c r="B67" s="5"/>
      <c r="C67" s="5"/>
      <c r="D67" s="5"/>
      <c r="E67" s="5"/>
      <c r="F67" s="6"/>
      <c r="G67" s="5">
        <f>IF(F67&gt;=600,"YES","NO")</f>
        <v>0</v>
      </c>
      <c r="H67" s="5"/>
      <c r="I67" s="5">
        <f>IF(G67="YES",IF(H67="YES","Completed","Pending"),"Not Required")</f>
        <v>0</v>
      </c>
      <c r="J67" s="5">
        <f>IF(AND(G67="YES",H67&lt;&gt;"YES",D67&lt;&gt;"YES"),"High",IF(AND(G67="YES",H67&lt;&gt;"YES"),"Medium","Low"))</f>
        <v>0</v>
      </c>
      <c r="K67" s="5"/>
    </row>
    <row r="68" spans="1:11">
      <c r="A68" s="5"/>
      <c r="B68" s="5"/>
      <c r="C68" s="5"/>
      <c r="D68" s="5"/>
      <c r="E68" s="5"/>
      <c r="F68" s="6"/>
      <c r="G68" s="5">
        <f>IF(F68&gt;=600,"YES","NO")</f>
        <v>0</v>
      </c>
      <c r="H68" s="5"/>
      <c r="I68" s="5">
        <f>IF(G68="YES",IF(H68="YES","Completed","Pending"),"Not Required")</f>
        <v>0</v>
      </c>
      <c r="J68" s="5">
        <f>IF(AND(G68="YES",H68&lt;&gt;"YES",D68&lt;&gt;"YES"),"High",IF(AND(G68="YES",H68&lt;&gt;"YES"),"Medium","Low"))</f>
        <v>0</v>
      </c>
      <c r="K68" s="5"/>
    </row>
    <row r="69" spans="1:11">
      <c r="A69" s="5"/>
      <c r="B69" s="5"/>
      <c r="C69" s="5"/>
      <c r="D69" s="5"/>
      <c r="E69" s="5"/>
      <c r="F69" s="6"/>
      <c r="G69" s="5">
        <f>IF(F69&gt;=600,"YES","NO")</f>
        <v>0</v>
      </c>
      <c r="H69" s="5"/>
      <c r="I69" s="5">
        <f>IF(G69="YES",IF(H69="YES","Completed","Pending"),"Not Required")</f>
        <v>0</v>
      </c>
      <c r="J69" s="5">
        <f>IF(AND(G69="YES",H69&lt;&gt;"YES",D69&lt;&gt;"YES"),"High",IF(AND(G69="YES",H69&lt;&gt;"YES"),"Medium","Low"))</f>
        <v>0</v>
      </c>
      <c r="K69" s="5"/>
    </row>
    <row r="70" spans="1:11">
      <c r="A70" s="5"/>
      <c r="B70" s="5"/>
      <c r="C70" s="5"/>
      <c r="D70" s="5"/>
      <c r="E70" s="5"/>
      <c r="F70" s="6"/>
      <c r="G70" s="5">
        <f>IF(F70&gt;=600,"YES","NO")</f>
        <v>0</v>
      </c>
      <c r="H70" s="5"/>
      <c r="I70" s="5">
        <f>IF(G70="YES",IF(H70="YES","Completed","Pending"),"Not Required")</f>
        <v>0</v>
      </c>
      <c r="J70" s="5">
        <f>IF(AND(G70="YES",H70&lt;&gt;"YES",D70&lt;&gt;"YES"),"High",IF(AND(G70="YES",H70&lt;&gt;"YES"),"Medium","Low"))</f>
        <v>0</v>
      </c>
      <c r="K70" s="5"/>
    </row>
    <row r="71" spans="1:11">
      <c r="A71" s="5"/>
      <c r="B71" s="5"/>
      <c r="C71" s="5"/>
      <c r="D71" s="5"/>
      <c r="E71" s="5"/>
      <c r="F71" s="6"/>
      <c r="G71" s="5">
        <f>IF(F71&gt;=600,"YES","NO")</f>
        <v>0</v>
      </c>
      <c r="H71" s="5"/>
      <c r="I71" s="5">
        <f>IF(G71="YES",IF(H71="YES","Completed","Pending"),"Not Required")</f>
        <v>0</v>
      </c>
      <c r="J71" s="5">
        <f>IF(AND(G71="YES",H71&lt;&gt;"YES",D71&lt;&gt;"YES"),"High",IF(AND(G71="YES",H71&lt;&gt;"YES"),"Medium","Low"))</f>
        <v>0</v>
      </c>
      <c r="K71" s="5"/>
    </row>
    <row r="72" spans="1:11">
      <c r="A72" s="5"/>
      <c r="B72" s="5"/>
      <c r="C72" s="5"/>
      <c r="D72" s="5"/>
      <c r="E72" s="5"/>
      <c r="F72" s="6"/>
      <c r="G72" s="5">
        <f>IF(F72&gt;=600,"YES","NO")</f>
        <v>0</v>
      </c>
      <c r="H72" s="5"/>
      <c r="I72" s="5">
        <f>IF(G72="YES",IF(H72="YES","Completed","Pending"),"Not Required")</f>
        <v>0</v>
      </c>
      <c r="J72" s="5">
        <f>IF(AND(G72="YES",H72&lt;&gt;"YES",D72&lt;&gt;"YES"),"High",IF(AND(G72="YES",H72&lt;&gt;"YES"),"Medium","Low"))</f>
        <v>0</v>
      </c>
      <c r="K72" s="5"/>
    </row>
    <row r="73" spans="1:11">
      <c r="A73" s="5"/>
      <c r="B73" s="5"/>
      <c r="C73" s="5"/>
      <c r="D73" s="5"/>
      <c r="E73" s="5"/>
      <c r="F73" s="6"/>
      <c r="G73" s="5">
        <f>IF(F73&gt;=600,"YES","NO")</f>
        <v>0</v>
      </c>
      <c r="H73" s="5"/>
      <c r="I73" s="5">
        <f>IF(G73="YES",IF(H73="YES","Completed","Pending"),"Not Required")</f>
        <v>0</v>
      </c>
      <c r="J73" s="5">
        <f>IF(AND(G73="YES",H73&lt;&gt;"YES",D73&lt;&gt;"YES"),"High",IF(AND(G73="YES",H73&lt;&gt;"YES"),"Medium","Low"))</f>
        <v>0</v>
      </c>
      <c r="K73" s="5"/>
    </row>
    <row r="74" spans="1:11">
      <c r="A74" s="5"/>
      <c r="B74" s="5"/>
      <c r="C74" s="5"/>
      <c r="D74" s="5"/>
      <c r="E74" s="5"/>
      <c r="F74" s="6"/>
      <c r="G74" s="5">
        <f>IF(F74&gt;=600,"YES","NO")</f>
        <v>0</v>
      </c>
      <c r="H74" s="5"/>
      <c r="I74" s="5">
        <f>IF(G74="YES",IF(H74="YES","Completed","Pending"),"Not Required")</f>
        <v>0</v>
      </c>
      <c r="J74" s="5">
        <f>IF(AND(G74="YES",H74&lt;&gt;"YES",D74&lt;&gt;"YES"),"High",IF(AND(G74="YES",H74&lt;&gt;"YES"),"Medium","Low"))</f>
        <v>0</v>
      </c>
      <c r="K74" s="5"/>
    </row>
    <row r="75" spans="1:11">
      <c r="A75" s="5"/>
      <c r="B75" s="5"/>
      <c r="C75" s="5"/>
      <c r="D75" s="5"/>
      <c r="E75" s="5"/>
      <c r="F75" s="6"/>
      <c r="G75" s="5">
        <f>IF(F75&gt;=600,"YES","NO")</f>
        <v>0</v>
      </c>
      <c r="H75" s="5"/>
      <c r="I75" s="5">
        <f>IF(G75="YES",IF(H75="YES","Completed","Pending"),"Not Required")</f>
        <v>0</v>
      </c>
      <c r="J75" s="5">
        <f>IF(AND(G75="YES",H75&lt;&gt;"YES",D75&lt;&gt;"YES"),"High",IF(AND(G75="YES",H75&lt;&gt;"YES"),"Medium","Low"))</f>
        <v>0</v>
      </c>
      <c r="K75" s="5"/>
    </row>
    <row r="76" spans="1:11">
      <c r="A76" s="5"/>
      <c r="B76" s="5"/>
      <c r="C76" s="5"/>
      <c r="D76" s="5"/>
      <c r="E76" s="5"/>
      <c r="F76" s="6"/>
      <c r="G76" s="5">
        <f>IF(F76&gt;=600,"YES","NO")</f>
        <v>0</v>
      </c>
      <c r="H76" s="5"/>
      <c r="I76" s="5">
        <f>IF(G76="YES",IF(H76="YES","Completed","Pending"),"Not Required")</f>
        <v>0</v>
      </c>
      <c r="J76" s="5">
        <f>IF(AND(G76="YES",H76&lt;&gt;"YES",D76&lt;&gt;"YES"),"High",IF(AND(G76="YES",H76&lt;&gt;"YES"),"Medium","Low"))</f>
        <v>0</v>
      </c>
      <c r="K76" s="5"/>
    </row>
    <row r="77" spans="1:11">
      <c r="A77" s="5"/>
      <c r="B77" s="5"/>
      <c r="C77" s="5"/>
      <c r="D77" s="5"/>
      <c r="E77" s="5"/>
      <c r="F77" s="6"/>
      <c r="G77" s="5">
        <f>IF(F77&gt;=600,"YES","NO")</f>
        <v>0</v>
      </c>
      <c r="H77" s="5"/>
      <c r="I77" s="5">
        <f>IF(G77="YES",IF(H77="YES","Completed","Pending"),"Not Required")</f>
        <v>0</v>
      </c>
      <c r="J77" s="5">
        <f>IF(AND(G77="YES",H77&lt;&gt;"YES",D77&lt;&gt;"YES"),"High",IF(AND(G77="YES",H77&lt;&gt;"YES"),"Medium","Low"))</f>
        <v>0</v>
      </c>
      <c r="K77" s="5"/>
    </row>
    <row r="78" spans="1:11">
      <c r="A78" s="5"/>
      <c r="B78" s="5"/>
      <c r="C78" s="5"/>
      <c r="D78" s="5"/>
      <c r="E78" s="5"/>
      <c r="F78" s="6"/>
      <c r="G78" s="5">
        <f>IF(F78&gt;=600,"YES","NO")</f>
        <v>0</v>
      </c>
      <c r="H78" s="5"/>
      <c r="I78" s="5">
        <f>IF(G78="YES",IF(H78="YES","Completed","Pending"),"Not Required")</f>
        <v>0</v>
      </c>
      <c r="J78" s="5">
        <f>IF(AND(G78="YES",H78&lt;&gt;"YES",D78&lt;&gt;"YES"),"High",IF(AND(G78="YES",H78&lt;&gt;"YES"),"Medium","Low"))</f>
        <v>0</v>
      </c>
      <c r="K78" s="5"/>
    </row>
    <row r="79" spans="1:11">
      <c r="A79" s="5"/>
      <c r="B79" s="5"/>
      <c r="C79" s="5"/>
      <c r="D79" s="5"/>
      <c r="E79" s="5"/>
      <c r="F79" s="6"/>
      <c r="G79" s="5">
        <f>IF(F79&gt;=600,"YES","NO")</f>
        <v>0</v>
      </c>
      <c r="H79" s="5"/>
      <c r="I79" s="5">
        <f>IF(G79="YES",IF(H79="YES","Completed","Pending"),"Not Required")</f>
        <v>0</v>
      </c>
      <c r="J79" s="5">
        <f>IF(AND(G79="YES",H79&lt;&gt;"YES",D79&lt;&gt;"YES"),"High",IF(AND(G79="YES",H79&lt;&gt;"YES"),"Medium","Low"))</f>
        <v>0</v>
      </c>
      <c r="K79" s="5"/>
    </row>
    <row r="80" spans="1:11">
      <c r="A80" s="5"/>
      <c r="B80" s="5"/>
      <c r="C80" s="5"/>
      <c r="D80" s="5"/>
      <c r="E80" s="5"/>
      <c r="F80" s="6"/>
      <c r="G80" s="5">
        <f>IF(F80&gt;=600,"YES","NO")</f>
        <v>0</v>
      </c>
      <c r="H80" s="5"/>
      <c r="I80" s="5">
        <f>IF(G80="YES",IF(H80="YES","Completed","Pending"),"Not Required")</f>
        <v>0</v>
      </c>
      <c r="J80" s="5">
        <f>IF(AND(G80="YES",H80&lt;&gt;"YES",D80&lt;&gt;"YES"),"High",IF(AND(G80="YES",H80&lt;&gt;"YES"),"Medium","Low"))</f>
        <v>0</v>
      </c>
      <c r="K80" s="5"/>
    </row>
    <row r="81" spans="1:11">
      <c r="A81" s="5"/>
      <c r="B81" s="5"/>
      <c r="C81" s="5"/>
      <c r="D81" s="5"/>
      <c r="E81" s="5"/>
      <c r="F81" s="6"/>
      <c r="G81" s="5">
        <f>IF(F81&gt;=600,"YES","NO")</f>
        <v>0</v>
      </c>
      <c r="H81" s="5"/>
      <c r="I81" s="5">
        <f>IF(G81="YES",IF(H81="YES","Completed","Pending"),"Not Required")</f>
        <v>0</v>
      </c>
      <c r="J81" s="5">
        <f>IF(AND(G81="YES",H81&lt;&gt;"YES",D81&lt;&gt;"YES"),"High",IF(AND(G81="YES",H81&lt;&gt;"YES"),"Medium","Low"))</f>
        <v>0</v>
      </c>
      <c r="K81" s="5"/>
    </row>
    <row r="82" spans="1:11">
      <c r="A82" s="5"/>
      <c r="B82" s="5"/>
      <c r="C82" s="5"/>
      <c r="D82" s="5"/>
      <c r="E82" s="5"/>
      <c r="F82" s="6"/>
      <c r="G82" s="5">
        <f>IF(F82&gt;=600,"YES","NO")</f>
        <v>0</v>
      </c>
      <c r="H82" s="5"/>
      <c r="I82" s="5">
        <f>IF(G82="YES",IF(H82="YES","Completed","Pending"),"Not Required")</f>
        <v>0</v>
      </c>
      <c r="J82" s="5">
        <f>IF(AND(G82="YES",H82&lt;&gt;"YES",D82&lt;&gt;"YES"),"High",IF(AND(G82="YES",H82&lt;&gt;"YES"),"Medium","Low"))</f>
        <v>0</v>
      </c>
      <c r="K82" s="5"/>
    </row>
    <row r="83" spans="1:11">
      <c r="A83" s="5"/>
      <c r="B83" s="5"/>
      <c r="C83" s="5"/>
      <c r="D83" s="5"/>
      <c r="E83" s="5"/>
      <c r="F83" s="6"/>
      <c r="G83" s="5">
        <f>IF(F83&gt;=600,"YES","NO")</f>
        <v>0</v>
      </c>
      <c r="H83" s="5"/>
      <c r="I83" s="5">
        <f>IF(G83="YES",IF(H83="YES","Completed","Pending"),"Not Required")</f>
        <v>0</v>
      </c>
      <c r="J83" s="5">
        <f>IF(AND(G83="YES",H83&lt;&gt;"YES",D83&lt;&gt;"YES"),"High",IF(AND(G83="YES",H83&lt;&gt;"YES"),"Medium","Low"))</f>
        <v>0</v>
      </c>
      <c r="K83" s="5"/>
    </row>
    <row r="84" spans="1:11">
      <c r="A84" s="5"/>
      <c r="B84" s="5"/>
      <c r="C84" s="5"/>
      <c r="D84" s="5"/>
      <c r="E84" s="5"/>
      <c r="F84" s="6"/>
      <c r="G84" s="5">
        <f>IF(F84&gt;=600,"YES","NO")</f>
        <v>0</v>
      </c>
      <c r="H84" s="5"/>
      <c r="I84" s="5">
        <f>IF(G84="YES",IF(H84="YES","Completed","Pending"),"Not Required")</f>
        <v>0</v>
      </c>
      <c r="J84" s="5">
        <f>IF(AND(G84="YES",H84&lt;&gt;"YES",D84&lt;&gt;"YES"),"High",IF(AND(G84="YES",H84&lt;&gt;"YES"),"Medium","Low"))</f>
        <v>0</v>
      </c>
      <c r="K84" s="5"/>
    </row>
    <row r="85" spans="1:11">
      <c r="A85" s="5"/>
      <c r="B85" s="5"/>
      <c r="C85" s="5"/>
      <c r="D85" s="5"/>
      <c r="E85" s="5"/>
      <c r="F85" s="6"/>
      <c r="G85" s="5">
        <f>IF(F85&gt;=600,"YES","NO")</f>
        <v>0</v>
      </c>
      <c r="H85" s="5"/>
      <c r="I85" s="5">
        <f>IF(G85="YES",IF(H85="YES","Completed","Pending"),"Not Required")</f>
        <v>0</v>
      </c>
      <c r="J85" s="5">
        <f>IF(AND(G85="YES",H85&lt;&gt;"YES",D85&lt;&gt;"YES"),"High",IF(AND(G85="YES",H85&lt;&gt;"YES"),"Medium","Low"))</f>
        <v>0</v>
      </c>
      <c r="K85" s="5"/>
    </row>
    <row r="86" spans="1:11">
      <c r="A86" s="5"/>
      <c r="B86" s="5"/>
      <c r="C86" s="5"/>
      <c r="D86" s="5"/>
      <c r="E86" s="5"/>
      <c r="F86" s="6"/>
      <c r="G86" s="5">
        <f>IF(F86&gt;=600,"YES","NO")</f>
        <v>0</v>
      </c>
      <c r="H86" s="5"/>
      <c r="I86" s="5">
        <f>IF(G86="YES",IF(H86="YES","Completed","Pending"),"Not Required")</f>
        <v>0</v>
      </c>
      <c r="J86" s="5">
        <f>IF(AND(G86="YES",H86&lt;&gt;"YES",D86&lt;&gt;"YES"),"High",IF(AND(G86="YES",H86&lt;&gt;"YES"),"Medium","Low"))</f>
        <v>0</v>
      </c>
      <c r="K86" s="5"/>
    </row>
    <row r="87" spans="1:11">
      <c r="A87" s="5"/>
      <c r="B87" s="5"/>
      <c r="C87" s="5"/>
      <c r="D87" s="5"/>
      <c r="E87" s="5"/>
      <c r="F87" s="6"/>
      <c r="G87" s="5">
        <f>IF(F87&gt;=600,"YES","NO")</f>
        <v>0</v>
      </c>
      <c r="H87" s="5"/>
      <c r="I87" s="5">
        <f>IF(G87="YES",IF(H87="YES","Completed","Pending"),"Not Required")</f>
        <v>0</v>
      </c>
      <c r="J87" s="5">
        <f>IF(AND(G87="YES",H87&lt;&gt;"YES",D87&lt;&gt;"YES"),"High",IF(AND(G87="YES",H87&lt;&gt;"YES"),"Medium","Low"))</f>
        <v>0</v>
      </c>
      <c r="K87" s="5"/>
    </row>
    <row r="88" spans="1:11">
      <c r="A88" s="5"/>
      <c r="B88" s="5"/>
      <c r="C88" s="5"/>
      <c r="D88" s="5"/>
      <c r="E88" s="5"/>
      <c r="F88" s="6"/>
      <c r="G88" s="5">
        <f>IF(F88&gt;=600,"YES","NO")</f>
        <v>0</v>
      </c>
      <c r="H88" s="5"/>
      <c r="I88" s="5">
        <f>IF(G88="YES",IF(H88="YES","Completed","Pending"),"Not Required")</f>
        <v>0</v>
      </c>
      <c r="J88" s="5">
        <f>IF(AND(G88="YES",H88&lt;&gt;"YES",D88&lt;&gt;"YES"),"High",IF(AND(G88="YES",H88&lt;&gt;"YES"),"Medium","Low"))</f>
        <v>0</v>
      </c>
      <c r="K88" s="5"/>
    </row>
    <row r="89" spans="1:11">
      <c r="A89" s="5"/>
      <c r="B89" s="5"/>
      <c r="C89" s="5"/>
      <c r="D89" s="5"/>
      <c r="E89" s="5"/>
      <c r="F89" s="6"/>
      <c r="G89" s="5">
        <f>IF(F89&gt;=600,"YES","NO")</f>
        <v>0</v>
      </c>
      <c r="H89" s="5"/>
      <c r="I89" s="5">
        <f>IF(G89="YES",IF(H89="YES","Completed","Pending"),"Not Required")</f>
        <v>0</v>
      </c>
      <c r="J89" s="5">
        <f>IF(AND(G89="YES",H89&lt;&gt;"YES",D89&lt;&gt;"YES"),"High",IF(AND(G89="YES",H89&lt;&gt;"YES"),"Medium","Low"))</f>
        <v>0</v>
      </c>
      <c r="K89" s="5"/>
    </row>
    <row r="90" spans="1:11">
      <c r="A90" s="5"/>
      <c r="B90" s="5"/>
      <c r="C90" s="5"/>
      <c r="D90" s="5"/>
      <c r="E90" s="5"/>
      <c r="F90" s="6"/>
      <c r="G90" s="5">
        <f>IF(F90&gt;=600,"YES","NO")</f>
        <v>0</v>
      </c>
      <c r="H90" s="5"/>
      <c r="I90" s="5">
        <f>IF(G90="YES",IF(H90="YES","Completed","Pending"),"Not Required")</f>
        <v>0</v>
      </c>
      <c r="J90" s="5">
        <f>IF(AND(G90="YES",H90&lt;&gt;"YES",D90&lt;&gt;"YES"),"High",IF(AND(G90="YES",H90&lt;&gt;"YES"),"Medium","Low"))</f>
        <v>0</v>
      </c>
      <c r="K90" s="5"/>
    </row>
    <row r="91" spans="1:11">
      <c r="A91" s="5"/>
      <c r="B91" s="5"/>
      <c r="C91" s="5"/>
      <c r="D91" s="5"/>
      <c r="E91" s="5"/>
      <c r="F91" s="6"/>
      <c r="G91" s="5">
        <f>IF(F91&gt;=600,"YES","NO")</f>
        <v>0</v>
      </c>
      <c r="H91" s="5"/>
      <c r="I91" s="5">
        <f>IF(G91="YES",IF(H91="YES","Completed","Pending"),"Not Required")</f>
        <v>0</v>
      </c>
      <c r="J91" s="5">
        <f>IF(AND(G91="YES",H91&lt;&gt;"YES",D91&lt;&gt;"YES"),"High",IF(AND(G91="YES",H91&lt;&gt;"YES"),"Medium","Low"))</f>
        <v>0</v>
      </c>
      <c r="K91" s="5"/>
    </row>
    <row r="92" spans="1:11">
      <c r="A92" s="5"/>
      <c r="B92" s="5"/>
      <c r="C92" s="5"/>
      <c r="D92" s="5"/>
      <c r="E92" s="5"/>
      <c r="F92" s="6"/>
      <c r="G92" s="5">
        <f>IF(F92&gt;=600,"YES","NO")</f>
        <v>0</v>
      </c>
      <c r="H92" s="5"/>
      <c r="I92" s="5">
        <f>IF(G92="YES",IF(H92="YES","Completed","Pending"),"Not Required")</f>
        <v>0</v>
      </c>
      <c r="J92" s="5">
        <f>IF(AND(G92="YES",H92&lt;&gt;"YES",D92&lt;&gt;"YES"),"High",IF(AND(G92="YES",H92&lt;&gt;"YES"),"Medium","Low"))</f>
        <v>0</v>
      </c>
      <c r="K92" s="5"/>
    </row>
    <row r="93" spans="1:11">
      <c r="A93" s="5"/>
      <c r="B93" s="5"/>
      <c r="C93" s="5"/>
      <c r="D93" s="5"/>
      <c r="E93" s="5"/>
      <c r="F93" s="6"/>
      <c r="G93" s="5">
        <f>IF(F93&gt;=600,"YES","NO")</f>
        <v>0</v>
      </c>
      <c r="H93" s="5"/>
      <c r="I93" s="5">
        <f>IF(G93="YES",IF(H93="YES","Completed","Pending"),"Not Required")</f>
        <v>0</v>
      </c>
      <c r="J93" s="5">
        <f>IF(AND(G93="YES",H93&lt;&gt;"YES",D93&lt;&gt;"YES"),"High",IF(AND(G93="YES",H93&lt;&gt;"YES"),"Medium","Low"))</f>
        <v>0</v>
      </c>
      <c r="K93" s="5"/>
    </row>
    <row r="94" spans="1:11">
      <c r="A94" s="5"/>
      <c r="B94" s="5"/>
      <c r="C94" s="5"/>
      <c r="D94" s="5"/>
      <c r="E94" s="5"/>
      <c r="F94" s="6"/>
      <c r="G94" s="5">
        <f>IF(F94&gt;=600,"YES","NO")</f>
        <v>0</v>
      </c>
      <c r="H94" s="5"/>
      <c r="I94" s="5">
        <f>IF(G94="YES",IF(H94="YES","Completed","Pending"),"Not Required")</f>
        <v>0</v>
      </c>
      <c r="J94" s="5">
        <f>IF(AND(G94="YES",H94&lt;&gt;"YES",D94&lt;&gt;"YES"),"High",IF(AND(G94="YES",H94&lt;&gt;"YES"),"Medium","Low"))</f>
        <v>0</v>
      </c>
      <c r="K94" s="5"/>
    </row>
    <row r="95" spans="1:11">
      <c r="A95" s="5"/>
      <c r="B95" s="5"/>
      <c r="C95" s="5"/>
      <c r="D95" s="5"/>
      <c r="E95" s="5"/>
      <c r="F95" s="6"/>
      <c r="G95" s="5">
        <f>IF(F95&gt;=600,"YES","NO")</f>
        <v>0</v>
      </c>
      <c r="H95" s="5"/>
      <c r="I95" s="5">
        <f>IF(G95="YES",IF(H95="YES","Completed","Pending"),"Not Required")</f>
        <v>0</v>
      </c>
      <c r="J95" s="5">
        <f>IF(AND(G95="YES",H95&lt;&gt;"YES",D95&lt;&gt;"YES"),"High",IF(AND(G95="YES",H95&lt;&gt;"YES"),"Medium","Low"))</f>
        <v>0</v>
      </c>
      <c r="K95" s="5"/>
    </row>
    <row r="96" spans="1:11">
      <c r="A96" s="5"/>
      <c r="B96" s="5"/>
      <c r="C96" s="5"/>
      <c r="D96" s="5"/>
      <c r="E96" s="5"/>
      <c r="F96" s="6"/>
      <c r="G96" s="5">
        <f>IF(F96&gt;=600,"YES","NO")</f>
        <v>0</v>
      </c>
      <c r="H96" s="5"/>
      <c r="I96" s="5">
        <f>IF(G96="YES",IF(H96="YES","Completed","Pending"),"Not Required")</f>
        <v>0</v>
      </c>
      <c r="J96" s="5">
        <f>IF(AND(G96="YES",H96&lt;&gt;"YES",D96&lt;&gt;"YES"),"High",IF(AND(G96="YES",H96&lt;&gt;"YES"),"Medium","Low"))</f>
        <v>0</v>
      </c>
      <c r="K96" s="5"/>
    </row>
    <row r="97" spans="1:11">
      <c r="A97" s="5"/>
      <c r="B97" s="5"/>
      <c r="C97" s="5"/>
      <c r="D97" s="5"/>
      <c r="E97" s="5"/>
      <c r="F97" s="6"/>
      <c r="G97" s="5">
        <f>IF(F97&gt;=600,"YES","NO")</f>
        <v>0</v>
      </c>
      <c r="H97" s="5"/>
      <c r="I97" s="5">
        <f>IF(G97="YES",IF(H97="YES","Completed","Pending"),"Not Required")</f>
        <v>0</v>
      </c>
      <c r="J97" s="5">
        <f>IF(AND(G97="YES",H97&lt;&gt;"YES",D97&lt;&gt;"YES"),"High",IF(AND(G97="YES",H97&lt;&gt;"YES"),"Medium","Low"))</f>
        <v>0</v>
      </c>
      <c r="K97" s="5"/>
    </row>
    <row r="98" spans="1:11">
      <c r="A98" s="5"/>
      <c r="B98" s="5"/>
      <c r="C98" s="5"/>
      <c r="D98" s="5"/>
      <c r="E98" s="5"/>
      <c r="F98" s="6"/>
      <c r="G98" s="5">
        <f>IF(F98&gt;=600,"YES","NO")</f>
        <v>0</v>
      </c>
      <c r="H98" s="5"/>
      <c r="I98" s="5">
        <f>IF(G98="YES",IF(H98="YES","Completed","Pending"),"Not Required")</f>
        <v>0</v>
      </c>
      <c r="J98" s="5">
        <f>IF(AND(G98="YES",H98&lt;&gt;"YES",D98&lt;&gt;"YES"),"High",IF(AND(G98="YES",H98&lt;&gt;"YES"),"Medium","Low"))</f>
        <v>0</v>
      </c>
      <c r="K98" s="5"/>
    </row>
    <row r="99" spans="1:11">
      <c r="A99" s="5"/>
      <c r="B99" s="5"/>
      <c r="C99" s="5"/>
      <c r="D99" s="5"/>
      <c r="E99" s="5"/>
      <c r="F99" s="6"/>
      <c r="G99" s="5">
        <f>IF(F99&gt;=600,"YES","NO")</f>
        <v>0</v>
      </c>
      <c r="H99" s="5"/>
      <c r="I99" s="5">
        <f>IF(G99="YES",IF(H99="YES","Completed","Pending"),"Not Required")</f>
        <v>0</v>
      </c>
      <c r="J99" s="5">
        <f>IF(AND(G99="YES",H99&lt;&gt;"YES",D99&lt;&gt;"YES"),"High",IF(AND(G99="YES",H99&lt;&gt;"YES"),"Medium","Low"))</f>
        <v>0</v>
      </c>
      <c r="K99" s="5"/>
    </row>
    <row r="100" spans="1:11">
      <c r="A100" s="5"/>
      <c r="B100" s="5"/>
      <c r="C100" s="5"/>
      <c r="D100" s="5"/>
      <c r="E100" s="5"/>
      <c r="F100" s="6"/>
      <c r="G100" s="5">
        <f>IF(F100&gt;=600,"YES","NO")</f>
        <v>0</v>
      </c>
      <c r="H100" s="5"/>
      <c r="I100" s="5">
        <f>IF(G100="YES",IF(H100="YES","Completed","Pending"),"Not Required")</f>
        <v>0</v>
      </c>
      <c r="J100" s="5">
        <f>IF(AND(G100="YES",H100&lt;&gt;"YES",D100&lt;&gt;"YES"),"High",IF(AND(G100="YES",H100&lt;&gt;"YES"),"Medium","Low"))</f>
        <v>0</v>
      </c>
      <c r="K100" s="5"/>
    </row>
    <row r="101" spans="1:11">
      <c r="A101" s="5"/>
      <c r="B101" s="5"/>
      <c r="C101" s="5"/>
      <c r="D101" s="5"/>
      <c r="E101" s="5"/>
      <c r="F101" s="6"/>
      <c r="G101" s="5">
        <f>IF(F101&gt;=600,"YES","NO")</f>
        <v>0</v>
      </c>
      <c r="H101" s="5"/>
      <c r="I101" s="5">
        <f>IF(G101="YES",IF(H101="YES","Completed","Pending"),"Not Required")</f>
        <v>0</v>
      </c>
      <c r="J101" s="5">
        <f>IF(AND(G101="YES",H101&lt;&gt;"YES",D101&lt;&gt;"YES"),"High",IF(AND(G101="YES",H101&lt;&gt;"YES"),"Medium","Low"))</f>
        <v>0</v>
      </c>
      <c r="K101" s="5"/>
    </row>
    <row r="102" spans="1:11">
      <c r="A102" s="5"/>
      <c r="B102" s="5"/>
      <c r="C102" s="5"/>
      <c r="D102" s="5"/>
      <c r="E102" s="5"/>
      <c r="F102" s="6"/>
      <c r="G102" s="5">
        <f>IF(F102&gt;=600,"YES","NO")</f>
        <v>0</v>
      </c>
      <c r="H102" s="5"/>
      <c r="I102" s="5">
        <f>IF(G102="YES",IF(H102="YES","Completed","Pending"),"Not Required")</f>
        <v>0</v>
      </c>
      <c r="J102" s="5">
        <f>IF(AND(G102="YES",H102&lt;&gt;"YES",D102&lt;&gt;"YES"),"High",IF(AND(G102="YES",H102&lt;&gt;"YES"),"Medium","Low"))</f>
        <v>0</v>
      </c>
      <c r="K102" s="5"/>
    </row>
    <row r="103" spans="1:11">
      <c r="A103" s="5"/>
      <c r="B103" s="5"/>
      <c r="C103" s="5"/>
      <c r="D103" s="5"/>
      <c r="E103" s="5"/>
      <c r="F103" s="6"/>
      <c r="G103" s="5">
        <f>IF(F103&gt;=600,"YES","NO")</f>
        <v>0</v>
      </c>
      <c r="H103" s="5"/>
      <c r="I103" s="5">
        <f>IF(G103="YES",IF(H103="YES","Completed","Pending"),"Not Required")</f>
        <v>0</v>
      </c>
      <c r="J103" s="5">
        <f>IF(AND(G103="YES",H103&lt;&gt;"YES",D103&lt;&gt;"YES"),"High",IF(AND(G103="YES",H103&lt;&gt;"YES"),"Medium","Low"))</f>
        <v>0</v>
      </c>
      <c r="K103" s="5"/>
    </row>
    <row r="104" spans="1:11">
      <c r="A104" s="5"/>
      <c r="B104" s="5"/>
      <c r="C104" s="5"/>
      <c r="D104" s="5"/>
      <c r="E104" s="5"/>
      <c r="F104" s="6"/>
      <c r="G104" s="5">
        <f>IF(F104&gt;=600,"YES","NO")</f>
        <v>0</v>
      </c>
      <c r="H104" s="5"/>
      <c r="I104" s="5">
        <f>IF(G104="YES",IF(H104="YES","Completed","Pending"),"Not Required")</f>
        <v>0</v>
      </c>
      <c r="J104" s="5">
        <f>IF(AND(G104="YES",H104&lt;&gt;"YES",D104&lt;&gt;"YES"),"High",IF(AND(G104="YES",H104&lt;&gt;"YES"),"Medium","Low"))</f>
        <v>0</v>
      </c>
      <c r="K104" s="5"/>
    </row>
    <row r="105" spans="1:11">
      <c r="A105" s="5"/>
      <c r="B105" s="5"/>
      <c r="C105" s="5"/>
      <c r="D105" s="5"/>
      <c r="E105" s="5"/>
      <c r="F105" s="6"/>
      <c r="G105" s="5">
        <f>IF(F105&gt;=600,"YES","NO")</f>
        <v>0</v>
      </c>
      <c r="H105" s="5"/>
      <c r="I105" s="5">
        <f>IF(G105="YES",IF(H105="YES","Completed","Pending"),"Not Required")</f>
        <v>0</v>
      </c>
      <c r="J105" s="5">
        <f>IF(AND(G105="YES",H105&lt;&gt;"YES",D105&lt;&gt;"YES"),"High",IF(AND(G105="YES",H105&lt;&gt;"YES"),"Medium","Low"))</f>
        <v>0</v>
      </c>
      <c r="K105" s="5"/>
    </row>
    <row r="106" spans="1:11">
      <c r="A106" s="5"/>
      <c r="B106" s="5"/>
      <c r="C106" s="5"/>
      <c r="D106" s="5"/>
      <c r="E106" s="5"/>
      <c r="F106" s="6"/>
      <c r="G106" s="5">
        <f>IF(F106&gt;=600,"YES","NO")</f>
        <v>0</v>
      </c>
      <c r="H106" s="5"/>
      <c r="I106" s="5">
        <f>IF(G106="YES",IF(H106="YES","Completed","Pending"),"Not Required")</f>
        <v>0</v>
      </c>
      <c r="J106" s="5">
        <f>IF(AND(G106="YES",H106&lt;&gt;"YES",D106&lt;&gt;"YES"),"High",IF(AND(G106="YES",H106&lt;&gt;"YES"),"Medium","Low"))</f>
        <v>0</v>
      </c>
      <c r="K106" s="5"/>
    </row>
    <row r="107" spans="1:11">
      <c r="A107" s="5"/>
      <c r="B107" s="5"/>
      <c r="C107" s="5"/>
      <c r="D107" s="5"/>
      <c r="E107" s="5"/>
      <c r="F107" s="6"/>
      <c r="G107" s="5">
        <f>IF(F107&gt;=600,"YES","NO")</f>
        <v>0</v>
      </c>
      <c r="H107" s="5"/>
      <c r="I107" s="5">
        <f>IF(G107="YES",IF(H107="YES","Completed","Pending"),"Not Required")</f>
        <v>0</v>
      </c>
      <c r="J107" s="5">
        <f>IF(AND(G107="YES",H107&lt;&gt;"YES",D107&lt;&gt;"YES"),"High",IF(AND(G107="YES",H107&lt;&gt;"YES"),"Medium","Low"))</f>
        <v>0</v>
      </c>
      <c r="K107" s="5"/>
    </row>
    <row r="108" spans="1:11">
      <c r="A108" s="5"/>
      <c r="B108" s="5"/>
      <c r="C108" s="5"/>
      <c r="D108" s="5"/>
      <c r="E108" s="5"/>
      <c r="F108" s="6"/>
      <c r="G108" s="5">
        <f>IF(F108&gt;=600,"YES","NO")</f>
        <v>0</v>
      </c>
      <c r="H108" s="5"/>
      <c r="I108" s="5">
        <f>IF(G108="YES",IF(H108="YES","Completed","Pending"),"Not Required")</f>
        <v>0</v>
      </c>
      <c r="J108" s="5">
        <f>IF(AND(G108="YES",H108&lt;&gt;"YES",D108&lt;&gt;"YES"),"High",IF(AND(G108="YES",H108&lt;&gt;"YES"),"Medium","Low"))</f>
        <v>0</v>
      </c>
      <c r="K108" s="5"/>
    </row>
    <row r="109" spans="1:11">
      <c r="A109" s="5"/>
      <c r="B109" s="5"/>
      <c r="C109" s="5"/>
      <c r="D109" s="5"/>
      <c r="E109" s="5"/>
      <c r="F109" s="6"/>
      <c r="G109" s="5">
        <f>IF(F109&gt;=600,"YES","NO")</f>
        <v>0</v>
      </c>
      <c r="H109" s="5"/>
      <c r="I109" s="5">
        <f>IF(G109="YES",IF(H109="YES","Completed","Pending"),"Not Required")</f>
        <v>0</v>
      </c>
      <c r="J109" s="5">
        <f>IF(AND(G109="YES",H109&lt;&gt;"YES",D109&lt;&gt;"YES"),"High",IF(AND(G109="YES",H109&lt;&gt;"YES"),"Medium","Low"))</f>
        <v>0</v>
      </c>
      <c r="K109" s="5"/>
    </row>
    <row r="110" spans="1:11">
      <c r="A110" s="5"/>
      <c r="B110" s="5"/>
      <c r="C110" s="5"/>
      <c r="D110" s="5"/>
      <c r="E110" s="5"/>
      <c r="F110" s="6"/>
      <c r="G110" s="5">
        <f>IF(F110&gt;=600,"YES","NO")</f>
        <v>0</v>
      </c>
      <c r="H110" s="5"/>
      <c r="I110" s="5">
        <f>IF(G110="YES",IF(H110="YES","Completed","Pending"),"Not Required")</f>
        <v>0</v>
      </c>
      <c r="J110" s="5">
        <f>IF(AND(G110="YES",H110&lt;&gt;"YES",D110&lt;&gt;"YES"),"High",IF(AND(G110="YES",H110&lt;&gt;"YES"),"Medium","Low"))</f>
        <v>0</v>
      </c>
      <c r="K110" s="5"/>
    </row>
    <row r="111" spans="1:11">
      <c r="A111" s="5"/>
      <c r="B111" s="5"/>
      <c r="C111" s="5"/>
      <c r="D111" s="5"/>
      <c r="E111" s="5"/>
      <c r="F111" s="6"/>
      <c r="G111" s="5">
        <f>IF(F111&gt;=600,"YES","NO")</f>
        <v>0</v>
      </c>
      <c r="H111" s="5"/>
      <c r="I111" s="5">
        <f>IF(G111="YES",IF(H111="YES","Completed","Pending"),"Not Required")</f>
        <v>0</v>
      </c>
      <c r="J111" s="5">
        <f>IF(AND(G111="YES",H111&lt;&gt;"YES",D111&lt;&gt;"YES"),"High",IF(AND(G111="YES",H111&lt;&gt;"YES"),"Medium","Low"))</f>
        <v>0</v>
      </c>
      <c r="K111" s="5"/>
    </row>
    <row r="112" spans="1:11">
      <c r="A112" s="5"/>
      <c r="B112" s="5"/>
      <c r="C112" s="5"/>
      <c r="D112" s="5"/>
      <c r="E112" s="5"/>
      <c r="F112" s="6"/>
      <c r="G112" s="5">
        <f>IF(F112&gt;=600,"YES","NO")</f>
        <v>0</v>
      </c>
      <c r="H112" s="5"/>
      <c r="I112" s="5">
        <f>IF(G112="YES",IF(H112="YES","Completed","Pending"),"Not Required")</f>
        <v>0</v>
      </c>
      <c r="J112" s="5">
        <f>IF(AND(G112="YES",H112&lt;&gt;"YES",D112&lt;&gt;"YES"),"High",IF(AND(G112="YES",H112&lt;&gt;"YES"),"Medium","Low"))</f>
        <v>0</v>
      </c>
      <c r="K112" s="5"/>
    </row>
    <row r="113" spans="1:11">
      <c r="A113" s="5"/>
      <c r="B113" s="5"/>
      <c r="C113" s="5"/>
      <c r="D113" s="5"/>
      <c r="E113" s="5"/>
      <c r="F113" s="6"/>
      <c r="G113" s="5">
        <f>IF(F113&gt;=600,"YES","NO")</f>
        <v>0</v>
      </c>
      <c r="H113" s="5"/>
      <c r="I113" s="5">
        <f>IF(G113="YES",IF(H113="YES","Completed","Pending"),"Not Required")</f>
        <v>0</v>
      </c>
      <c r="J113" s="5">
        <f>IF(AND(G113="YES",H113&lt;&gt;"YES",D113&lt;&gt;"YES"),"High",IF(AND(G113="YES",H113&lt;&gt;"YES"),"Medium","Low"))</f>
        <v>0</v>
      </c>
      <c r="K113" s="5"/>
    </row>
    <row r="114" spans="1:11">
      <c r="A114" s="5"/>
      <c r="B114" s="5"/>
      <c r="C114" s="5"/>
      <c r="D114" s="5"/>
      <c r="E114" s="5"/>
      <c r="F114" s="6"/>
      <c r="G114" s="5">
        <f>IF(F114&gt;=600,"YES","NO")</f>
        <v>0</v>
      </c>
      <c r="H114" s="5"/>
      <c r="I114" s="5">
        <f>IF(G114="YES",IF(H114="YES","Completed","Pending"),"Not Required")</f>
        <v>0</v>
      </c>
      <c r="J114" s="5">
        <f>IF(AND(G114="YES",H114&lt;&gt;"YES",D114&lt;&gt;"YES"),"High",IF(AND(G114="YES",H114&lt;&gt;"YES"),"Medium","Low"))</f>
        <v>0</v>
      </c>
      <c r="K114" s="5"/>
    </row>
    <row r="115" spans="1:11">
      <c r="A115" s="5"/>
      <c r="B115" s="5"/>
      <c r="C115" s="5"/>
      <c r="D115" s="5"/>
      <c r="E115" s="5"/>
      <c r="F115" s="6"/>
      <c r="G115" s="5">
        <f>IF(F115&gt;=600,"YES","NO")</f>
        <v>0</v>
      </c>
      <c r="H115" s="5"/>
      <c r="I115" s="5">
        <f>IF(G115="YES",IF(H115="YES","Completed","Pending"),"Not Required")</f>
        <v>0</v>
      </c>
      <c r="J115" s="5">
        <f>IF(AND(G115="YES",H115&lt;&gt;"YES",D115&lt;&gt;"YES"),"High",IF(AND(G115="YES",H115&lt;&gt;"YES"),"Medium","Low"))</f>
        <v>0</v>
      </c>
      <c r="K115" s="5"/>
    </row>
    <row r="116" spans="1:11">
      <c r="A116" s="5"/>
      <c r="B116" s="5"/>
      <c r="C116" s="5"/>
      <c r="D116" s="5"/>
      <c r="E116" s="5"/>
      <c r="F116" s="6"/>
      <c r="G116" s="5">
        <f>IF(F116&gt;=600,"YES","NO")</f>
        <v>0</v>
      </c>
      <c r="H116" s="5"/>
      <c r="I116" s="5">
        <f>IF(G116="YES",IF(H116="YES","Completed","Pending"),"Not Required")</f>
        <v>0</v>
      </c>
      <c r="J116" s="5">
        <f>IF(AND(G116="YES",H116&lt;&gt;"YES",D116&lt;&gt;"YES"),"High",IF(AND(G116="YES",H116&lt;&gt;"YES"),"Medium","Low"))</f>
        <v>0</v>
      </c>
      <c r="K116" s="5"/>
    </row>
    <row r="117" spans="1:11">
      <c r="A117" s="5"/>
      <c r="B117" s="5"/>
      <c r="C117" s="5"/>
      <c r="D117" s="5"/>
      <c r="E117" s="5"/>
      <c r="F117" s="6"/>
      <c r="G117" s="5">
        <f>IF(F117&gt;=600,"YES","NO")</f>
        <v>0</v>
      </c>
      <c r="H117" s="5"/>
      <c r="I117" s="5">
        <f>IF(G117="YES",IF(H117="YES","Completed","Pending"),"Not Required")</f>
        <v>0</v>
      </c>
      <c r="J117" s="5">
        <f>IF(AND(G117="YES",H117&lt;&gt;"YES",D117&lt;&gt;"YES"),"High",IF(AND(G117="YES",H117&lt;&gt;"YES"),"Medium","Low"))</f>
        <v>0</v>
      </c>
      <c r="K117" s="5"/>
    </row>
    <row r="118" spans="1:11">
      <c r="A118" s="5"/>
      <c r="B118" s="5"/>
      <c r="C118" s="5"/>
      <c r="D118" s="5"/>
      <c r="E118" s="5"/>
      <c r="F118" s="6"/>
      <c r="G118" s="5">
        <f>IF(F118&gt;=600,"YES","NO")</f>
        <v>0</v>
      </c>
      <c r="H118" s="5"/>
      <c r="I118" s="5">
        <f>IF(G118="YES",IF(H118="YES","Completed","Pending"),"Not Required")</f>
        <v>0</v>
      </c>
      <c r="J118" s="5">
        <f>IF(AND(G118="YES",H118&lt;&gt;"YES",D118&lt;&gt;"YES"),"High",IF(AND(G118="YES",H118&lt;&gt;"YES"),"Medium","Low"))</f>
        <v>0</v>
      </c>
      <c r="K118" s="5"/>
    </row>
    <row r="119" spans="1:11">
      <c r="A119" s="5"/>
      <c r="B119" s="5"/>
      <c r="C119" s="5"/>
      <c r="D119" s="5"/>
      <c r="E119" s="5"/>
      <c r="F119" s="6"/>
      <c r="G119" s="5">
        <f>IF(F119&gt;=600,"YES","NO")</f>
        <v>0</v>
      </c>
      <c r="H119" s="5"/>
      <c r="I119" s="5">
        <f>IF(G119="YES",IF(H119="YES","Completed","Pending"),"Not Required")</f>
        <v>0</v>
      </c>
      <c r="J119" s="5">
        <f>IF(AND(G119="YES",H119&lt;&gt;"YES",D119&lt;&gt;"YES"),"High",IF(AND(G119="YES",H119&lt;&gt;"YES"),"Medium","Low"))</f>
        <v>0</v>
      </c>
      <c r="K119" s="5"/>
    </row>
    <row r="120" spans="1:11">
      <c r="A120" s="5"/>
      <c r="B120" s="5"/>
      <c r="C120" s="5"/>
      <c r="D120" s="5"/>
      <c r="E120" s="5"/>
      <c r="F120" s="6"/>
      <c r="G120" s="5">
        <f>IF(F120&gt;=600,"YES","NO")</f>
        <v>0</v>
      </c>
      <c r="H120" s="5"/>
      <c r="I120" s="5">
        <f>IF(G120="YES",IF(H120="YES","Completed","Pending"),"Not Required")</f>
        <v>0</v>
      </c>
      <c r="J120" s="5">
        <f>IF(AND(G120="YES",H120&lt;&gt;"YES",D120&lt;&gt;"YES"),"High",IF(AND(G120="YES",H120&lt;&gt;"YES"),"Medium","Low"))</f>
        <v>0</v>
      </c>
      <c r="K120" s="5"/>
    </row>
    <row r="121" spans="1:11">
      <c r="A121" s="5"/>
      <c r="B121" s="5"/>
      <c r="C121" s="5"/>
      <c r="D121" s="5"/>
      <c r="E121" s="5"/>
      <c r="F121" s="6"/>
      <c r="G121" s="5">
        <f>IF(F121&gt;=600,"YES","NO")</f>
        <v>0</v>
      </c>
      <c r="H121" s="5"/>
      <c r="I121" s="5">
        <f>IF(G121="YES",IF(H121="YES","Completed","Pending"),"Not Required")</f>
        <v>0</v>
      </c>
      <c r="J121" s="5">
        <f>IF(AND(G121="YES",H121&lt;&gt;"YES",D121&lt;&gt;"YES"),"High",IF(AND(G121="YES",H121&lt;&gt;"YES"),"Medium","Low"))</f>
        <v>0</v>
      </c>
      <c r="K121" s="5"/>
    </row>
    <row r="122" spans="1:11">
      <c r="A122" s="5"/>
      <c r="B122" s="5"/>
      <c r="C122" s="5"/>
      <c r="D122" s="5"/>
      <c r="E122" s="5"/>
      <c r="F122" s="6"/>
      <c r="G122" s="5">
        <f>IF(F122&gt;=600,"YES","NO")</f>
        <v>0</v>
      </c>
      <c r="H122" s="5"/>
      <c r="I122" s="5">
        <f>IF(G122="YES",IF(H122="YES","Completed","Pending"),"Not Required")</f>
        <v>0</v>
      </c>
      <c r="J122" s="5">
        <f>IF(AND(G122="YES",H122&lt;&gt;"YES",D122&lt;&gt;"YES"),"High",IF(AND(G122="YES",H122&lt;&gt;"YES"),"Medium","Low"))</f>
        <v>0</v>
      </c>
      <c r="K122" s="5"/>
    </row>
    <row r="123" spans="1:11">
      <c r="A123" s="5"/>
      <c r="B123" s="5"/>
      <c r="C123" s="5"/>
      <c r="D123" s="5"/>
      <c r="E123" s="5"/>
      <c r="F123" s="6"/>
      <c r="G123" s="5">
        <f>IF(F123&gt;=600,"YES","NO")</f>
        <v>0</v>
      </c>
      <c r="H123" s="5"/>
      <c r="I123" s="5">
        <f>IF(G123="YES",IF(H123="YES","Completed","Pending"),"Not Required")</f>
        <v>0</v>
      </c>
      <c r="J123" s="5">
        <f>IF(AND(G123="YES",H123&lt;&gt;"YES",D123&lt;&gt;"YES"),"High",IF(AND(G123="YES",H123&lt;&gt;"YES"),"Medium","Low"))</f>
        <v>0</v>
      </c>
      <c r="K123" s="5"/>
    </row>
    <row r="124" spans="1:11">
      <c r="A124" s="5"/>
      <c r="B124" s="5"/>
      <c r="C124" s="5"/>
      <c r="D124" s="5"/>
      <c r="E124" s="5"/>
      <c r="F124" s="6"/>
      <c r="G124" s="5">
        <f>IF(F124&gt;=600,"YES","NO")</f>
        <v>0</v>
      </c>
      <c r="H124" s="5"/>
      <c r="I124" s="5">
        <f>IF(G124="YES",IF(H124="YES","Completed","Pending"),"Not Required")</f>
        <v>0</v>
      </c>
      <c r="J124" s="5">
        <f>IF(AND(G124="YES",H124&lt;&gt;"YES",D124&lt;&gt;"YES"),"High",IF(AND(G124="YES",H124&lt;&gt;"YES"),"Medium","Low"))</f>
        <v>0</v>
      </c>
      <c r="K124" s="5"/>
    </row>
    <row r="125" spans="1:11">
      <c r="A125" s="5"/>
      <c r="B125" s="5"/>
      <c r="C125" s="5"/>
      <c r="D125" s="5"/>
      <c r="E125" s="5"/>
      <c r="F125" s="6"/>
      <c r="G125" s="5">
        <f>IF(F125&gt;=600,"YES","NO")</f>
        <v>0</v>
      </c>
      <c r="H125" s="5"/>
      <c r="I125" s="5">
        <f>IF(G125="YES",IF(H125="YES","Completed","Pending"),"Not Required")</f>
        <v>0</v>
      </c>
      <c r="J125" s="5">
        <f>IF(AND(G125="YES",H125&lt;&gt;"YES",D125&lt;&gt;"YES"),"High",IF(AND(G125="YES",H125&lt;&gt;"YES"),"Medium","Low"))</f>
        <v>0</v>
      </c>
      <c r="K125" s="5"/>
    </row>
    <row r="126" spans="1:11">
      <c r="A126" s="5"/>
      <c r="B126" s="5"/>
      <c r="C126" s="5"/>
      <c r="D126" s="5"/>
      <c r="E126" s="5"/>
      <c r="F126" s="6"/>
      <c r="G126" s="5">
        <f>IF(F126&gt;=600,"YES","NO")</f>
        <v>0</v>
      </c>
      <c r="H126" s="5"/>
      <c r="I126" s="5">
        <f>IF(G126="YES",IF(H126="YES","Completed","Pending"),"Not Required")</f>
        <v>0</v>
      </c>
      <c r="J126" s="5">
        <f>IF(AND(G126="YES",H126&lt;&gt;"YES",D126&lt;&gt;"YES"),"High",IF(AND(G126="YES",H126&lt;&gt;"YES"),"Medium","Low"))</f>
        <v>0</v>
      </c>
      <c r="K126" s="5"/>
    </row>
    <row r="127" spans="1:11">
      <c r="A127" s="5"/>
      <c r="B127" s="5"/>
      <c r="C127" s="5"/>
      <c r="D127" s="5"/>
      <c r="E127" s="5"/>
      <c r="F127" s="6"/>
      <c r="G127" s="5">
        <f>IF(F127&gt;=600,"YES","NO")</f>
        <v>0</v>
      </c>
      <c r="H127" s="5"/>
      <c r="I127" s="5">
        <f>IF(G127="YES",IF(H127="YES","Completed","Pending"),"Not Required")</f>
        <v>0</v>
      </c>
      <c r="J127" s="5">
        <f>IF(AND(G127="YES",H127&lt;&gt;"YES",D127&lt;&gt;"YES"),"High",IF(AND(G127="YES",H127&lt;&gt;"YES"),"Medium","Low"))</f>
        <v>0</v>
      </c>
      <c r="K127" s="5"/>
    </row>
    <row r="128" spans="1:11">
      <c r="A128" s="5"/>
      <c r="B128" s="5"/>
      <c r="C128" s="5"/>
      <c r="D128" s="5"/>
      <c r="E128" s="5"/>
      <c r="F128" s="6"/>
      <c r="G128" s="5">
        <f>IF(F128&gt;=600,"YES","NO")</f>
        <v>0</v>
      </c>
      <c r="H128" s="5"/>
      <c r="I128" s="5">
        <f>IF(G128="YES",IF(H128="YES","Completed","Pending"),"Not Required")</f>
        <v>0</v>
      </c>
      <c r="J128" s="5">
        <f>IF(AND(G128="YES",H128&lt;&gt;"YES",D128&lt;&gt;"YES"),"High",IF(AND(G128="YES",H128&lt;&gt;"YES"),"Medium","Low"))</f>
        <v>0</v>
      </c>
      <c r="K128" s="5"/>
    </row>
    <row r="129" spans="1:11">
      <c r="A129" s="5"/>
      <c r="B129" s="5"/>
      <c r="C129" s="5"/>
      <c r="D129" s="5"/>
      <c r="E129" s="5"/>
      <c r="F129" s="6"/>
      <c r="G129" s="5">
        <f>IF(F129&gt;=600,"YES","NO")</f>
        <v>0</v>
      </c>
      <c r="H129" s="5"/>
      <c r="I129" s="5">
        <f>IF(G129="YES",IF(H129="YES","Completed","Pending"),"Not Required")</f>
        <v>0</v>
      </c>
      <c r="J129" s="5">
        <f>IF(AND(G129="YES",H129&lt;&gt;"YES",D129&lt;&gt;"YES"),"High",IF(AND(G129="YES",H129&lt;&gt;"YES"),"Medium","Low"))</f>
        <v>0</v>
      </c>
      <c r="K129" s="5"/>
    </row>
    <row r="130" spans="1:11">
      <c r="A130" s="5"/>
      <c r="B130" s="5"/>
      <c r="C130" s="5"/>
      <c r="D130" s="5"/>
      <c r="E130" s="5"/>
      <c r="F130" s="6"/>
      <c r="G130" s="5">
        <f>IF(F130&gt;=600,"YES","NO")</f>
        <v>0</v>
      </c>
      <c r="H130" s="5"/>
      <c r="I130" s="5">
        <f>IF(G130="YES",IF(H130="YES","Completed","Pending"),"Not Required")</f>
        <v>0</v>
      </c>
      <c r="J130" s="5">
        <f>IF(AND(G130="YES",H130&lt;&gt;"YES",D130&lt;&gt;"YES"),"High",IF(AND(G130="YES",H130&lt;&gt;"YES"),"Medium","Low"))</f>
        <v>0</v>
      </c>
      <c r="K130" s="5"/>
    </row>
    <row r="131" spans="1:11">
      <c r="A131" s="5"/>
      <c r="B131" s="5"/>
      <c r="C131" s="5"/>
      <c r="D131" s="5"/>
      <c r="E131" s="5"/>
      <c r="F131" s="6"/>
      <c r="G131" s="5">
        <f>IF(F131&gt;=600,"YES","NO")</f>
        <v>0</v>
      </c>
      <c r="H131" s="5"/>
      <c r="I131" s="5">
        <f>IF(G131="YES",IF(H131="YES","Completed","Pending"),"Not Required")</f>
        <v>0</v>
      </c>
      <c r="J131" s="5">
        <f>IF(AND(G131="YES",H131&lt;&gt;"YES",D131&lt;&gt;"YES"),"High",IF(AND(G131="YES",H131&lt;&gt;"YES"),"Medium","Low"))</f>
        <v>0</v>
      </c>
      <c r="K131" s="5"/>
    </row>
    <row r="132" spans="1:11">
      <c r="A132" s="5"/>
      <c r="B132" s="5"/>
      <c r="C132" s="5"/>
      <c r="D132" s="5"/>
      <c r="E132" s="5"/>
      <c r="F132" s="6"/>
      <c r="G132" s="5">
        <f>IF(F132&gt;=600,"YES","NO")</f>
        <v>0</v>
      </c>
      <c r="H132" s="5"/>
      <c r="I132" s="5">
        <f>IF(G132="YES",IF(H132="YES","Completed","Pending"),"Not Required")</f>
        <v>0</v>
      </c>
      <c r="J132" s="5">
        <f>IF(AND(G132="YES",H132&lt;&gt;"YES",D132&lt;&gt;"YES"),"High",IF(AND(G132="YES",H132&lt;&gt;"YES"),"Medium","Low"))</f>
        <v>0</v>
      </c>
      <c r="K132" s="5"/>
    </row>
    <row r="133" spans="1:11">
      <c r="A133" s="5"/>
      <c r="B133" s="5"/>
      <c r="C133" s="5"/>
      <c r="D133" s="5"/>
      <c r="E133" s="5"/>
      <c r="F133" s="6"/>
      <c r="G133" s="5">
        <f>IF(F133&gt;=600,"YES","NO")</f>
        <v>0</v>
      </c>
      <c r="H133" s="5"/>
      <c r="I133" s="5">
        <f>IF(G133="YES",IF(H133="YES","Completed","Pending"),"Not Required")</f>
        <v>0</v>
      </c>
      <c r="J133" s="5">
        <f>IF(AND(G133="YES",H133&lt;&gt;"YES",D133&lt;&gt;"YES"),"High",IF(AND(G133="YES",H133&lt;&gt;"YES"),"Medium","Low"))</f>
        <v>0</v>
      </c>
      <c r="K133" s="5"/>
    </row>
    <row r="134" spans="1:11">
      <c r="A134" s="5"/>
      <c r="B134" s="5"/>
      <c r="C134" s="5"/>
      <c r="D134" s="5"/>
      <c r="E134" s="5"/>
      <c r="F134" s="6"/>
      <c r="G134" s="5">
        <f>IF(F134&gt;=600,"YES","NO")</f>
        <v>0</v>
      </c>
      <c r="H134" s="5"/>
      <c r="I134" s="5">
        <f>IF(G134="YES",IF(H134="YES","Completed","Pending"),"Not Required")</f>
        <v>0</v>
      </c>
      <c r="J134" s="5">
        <f>IF(AND(G134="YES",H134&lt;&gt;"YES",D134&lt;&gt;"YES"),"High",IF(AND(G134="YES",H134&lt;&gt;"YES"),"Medium","Low"))</f>
        <v>0</v>
      </c>
      <c r="K134" s="5"/>
    </row>
    <row r="135" spans="1:11">
      <c r="A135" s="5"/>
      <c r="B135" s="5"/>
      <c r="C135" s="5"/>
      <c r="D135" s="5"/>
      <c r="E135" s="5"/>
      <c r="F135" s="6"/>
      <c r="G135" s="5">
        <f>IF(F135&gt;=600,"YES","NO")</f>
        <v>0</v>
      </c>
      <c r="H135" s="5"/>
      <c r="I135" s="5">
        <f>IF(G135="YES",IF(H135="YES","Completed","Pending"),"Not Required")</f>
        <v>0</v>
      </c>
      <c r="J135" s="5">
        <f>IF(AND(G135="YES",H135&lt;&gt;"YES",D135&lt;&gt;"YES"),"High",IF(AND(G135="YES",H135&lt;&gt;"YES"),"Medium","Low"))</f>
        <v>0</v>
      </c>
      <c r="K135" s="5"/>
    </row>
    <row r="136" spans="1:11">
      <c r="A136" s="5"/>
      <c r="B136" s="5"/>
      <c r="C136" s="5"/>
      <c r="D136" s="5"/>
      <c r="E136" s="5"/>
      <c r="F136" s="6"/>
      <c r="G136" s="5">
        <f>IF(F136&gt;=600,"YES","NO")</f>
        <v>0</v>
      </c>
      <c r="H136" s="5"/>
      <c r="I136" s="5">
        <f>IF(G136="YES",IF(H136="YES","Completed","Pending"),"Not Required")</f>
        <v>0</v>
      </c>
      <c r="J136" s="5">
        <f>IF(AND(G136="YES",H136&lt;&gt;"YES",D136&lt;&gt;"YES"),"High",IF(AND(G136="YES",H136&lt;&gt;"YES"),"Medium","Low"))</f>
        <v>0</v>
      </c>
      <c r="K136" s="5"/>
    </row>
    <row r="137" spans="1:11">
      <c r="A137" s="5"/>
      <c r="B137" s="5"/>
      <c r="C137" s="5"/>
      <c r="D137" s="5"/>
      <c r="E137" s="5"/>
      <c r="F137" s="6"/>
      <c r="G137" s="5">
        <f>IF(F137&gt;=600,"YES","NO")</f>
        <v>0</v>
      </c>
      <c r="H137" s="5"/>
      <c r="I137" s="5">
        <f>IF(G137="YES",IF(H137="YES","Completed","Pending"),"Not Required")</f>
        <v>0</v>
      </c>
      <c r="J137" s="5">
        <f>IF(AND(G137="YES",H137&lt;&gt;"YES",D137&lt;&gt;"YES"),"High",IF(AND(G137="YES",H137&lt;&gt;"YES"),"Medium","Low"))</f>
        <v>0</v>
      </c>
      <c r="K137" s="5"/>
    </row>
    <row r="138" spans="1:11">
      <c r="A138" s="5"/>
      <c r="B138" s="5"/>
      <c r="C138" s="5"/>
      <c r="D138" s="5"/>
      <c r="E138" s="5"/>
      <c r="F138" s="6"/>
      <c r="G138" s="5">
        <f>IF(F138&gt;=600,"YES","NO")</f>
        <v>0</v>
      </c>
      <c r="H138" s="5"/>
      <c r="I138" s="5">
        <f>IF(G138="YES",IF(H138="YES","Completed","Pending"),"Not Required")</f>
        <v>0</v>
      </c>
      <c r="J138" s="5">
        <f>IF(AND(G138="YES",H138&lt;&gt;"YES",D138&lt;&gt;"YES"),"High",IF(AND(G138="YES",H138&lt;&gt;"YES"),"Medium","Low"))</f>
        <v>0</v>
      </c>
      <c r="K138" s="5"/>
    </row>
    <row r="139" spans="1:11">
      <c r="A139" s="5"/>
      <c r="B139" s="5"/>
      <c r="C139" s="5"/>
      <c r="D139" s="5"/>
      <c r="E139" s="5"/>
      <c r="F139" s="6"/>
      <c r="G139" s="5">
        <f>IF(F139&gt;=600,"YES","NO")</f>
        <v>0</v>
      </c>
      <c r="H139" s="5"/>
      <c r="I139" s="5">
        <f>IF(G139="YES",IF(H139="YES","Completed","Pending"),"Not Required")</f>
        <v>0</v>
      </c>
      <c r="J139" s="5">
        <f>IF(AND(G139="YES",H139&lt;&gt;"YES",D139&lt;&gt;"YES"),"High",IF(AND(G139="YES",H139&lt;&gt;"YES"),"Medium","Low"))</f>
        <v>0</v>
      </c>
      <c r="K139" s="5"/>
    </row>
    <row r="140" spans="1:11">
      <c r="A140" s="5"/>
      <c r="B140" s="5"/>
      <c r="C140" s="5"/>
      <c r="D140" s="5"/>
      <c r="E140" s="5"/>
      <c r="F140" s="6"/>
      <c r="G140" s="5">
        <f>IF(F140&gt;=600,"YES","NO")</f>
        <v>0</v>
      </c>
      <c r="H140" s="5"/>
      <c r="I140" s="5">
        <f>IF(G140="YES",IF(H140="YES","Completed","Pending"),"Not Required")</f>
        <v>0</v>
      </c>
      <c r="J140" s="5">
        <f>IF(AND(G140="YES",H140&lt;&gt;"YES",D140&lt;&gt;"YES"),"High",IF(AND(G140="YES",H140&lt;&gt;"YES"),"Medium","Low"))</f>
        <v>0</v>
      </c>
      <c r="K140" s="5"/>
    </row>
    <row r="141" spans="1:11">
      <c r="A141" s="5"/>
      <c r="B141" s="5"/>
      <c r="C141" s="5"/>
      <c r="D141" s="5"/>
      <c r="E141" s="5"/>
      <c r="F141" s="6"/>
      <c r="G141" s="5">
        <f>IF(F141&gt;=600,"YES","NO")</f>
        <v>0</v>
      </c>
      <c r="H141" s="5"/>
      <c r="I141" s="5">
        <f>IF(G141="YES",IF(H141="YES","Completed","Pending"),"Not Required")</f>
        <v>0</v>
      </c>
      <c r="J141" s="5">
        <f>IF(AND(G141="YES",H141&lt;&gt;"YES",D141&lt;&gt;"YES"),"High",IF(AND(G141="YES",H141&lt;&gt;"YES"),"Medium","Low"))</f>
        <v>0</v>
      </c>
      <c r="K141" s="5"/>
    </row>
    <row r="142" spans="1:11">
      <c r="A142" s="5"/>
      <c r="B142" s="5"/>
      <c r="C142" s="5"/>
      <c r="D142" s="5"/>
      <c r="E142" s="5"/>
      <c r="F142" s="6"/>
      <c r="G142" s="5">
        <f>IF(F142&gt;=600,"YES","NO")</f>
        <v>0</v>
      </c>
      <c r="H142" s="5"/>
      <c r="I142" s="5">
        <f>IF(G142="YES",IF(H142="YES","Completed","Pending"),"Not Required")</f>
        <v>0</v>
      </c>
      <c r="J142" s="5">
        <f>IF(AND(G142="YES",H142&lt;&gt;"YES",D142&lt;&gt;"YES"),"High",IF(AND(G142="YES",H142&lt;&gt;"YES"),"Medium","Low"))</f>
        <v>0</v>
      </c>
      <c r="K142" s="5"/>
    </row>
    <row r="143" spans="1:11">
      <c r="A143" s="5"/>
      <c r="B143" s="5"/>
      <c r="C143" s="5"/>
      <c r="D143" s="5"/>
      <c r="E143" s="5"/>
      <c r="F143" s="6"/>
      <c r="G143" s="5">
        <f>IF(F143&gt;=600,"YES","NO")</f>
        <v>0</v>
      </c>
      <c r="H143" s="5"/>
      <c r="I143" s="5">
        <f>IF(G143="YES",IF(H143="YES","Completed","Pending"),"Not Required")</f>
        <v>0</v>
      </c>
      <c r="J143" s="5">
        <f>IF(AND(G143="YES",H143&lt;&gt;"YES",D143&lt;&gt;"YES"),"High",IF(AND(G143="YES",H143&lt;&gt;"YES"),"Medium","Low"))</f>
        <v>0</v>
      </c>
      <c r="K143" s="5"/>
    </row>
    <row r="144" spans="1:11">
      <c r="A144" s="5"/>
      <c r="B144" s="5"/>
      <c r="C144" s="5"/>
      <c r="D144" s="5"/>
      <c r="E144" s="5"/>
      <c r="F144" s="6"/>
      <c r="G144" s="5">
        <f>IF(F144&gt;=600,"YES","NO")</f>
        <v>0</v>
      </c>
      <c r="H144" s="5"/>
      <c r="I144" s="5">
        <f>IF(G144="YES",IF(H144="YES","Completed","Pending"),"Not Required")</f>
        <v>0</v>
      </c>
      <c r="J144" s="5">
        <f>IF(AND(G144="YES",H144&lt;&gt;"YES",D144&lt;&gt;"YES"),"High",IF(AND(G144="YES",H144&lt;&gt;"YES"),"Medium","Low"))</f>
        <v>0</v>
      </c>
      <c r="K144" s="5"/>
    </row>
    <row r="145" spans="1:11">
      <c r="A145" s="5"/>
      <c r="B145" s="5"/>
      <c r="C145" s="5"/>
      <c r="D145" s="5"/>
      <c r="E145" s="5"/>
      <c r="F145" s="6"/>
      <c r="G145" s="5">
        <f>IF(F145&gt;=600,"YES","NO")</f>
        <v>0</v>
      </c>
      <c r="H145" s="5"/>
      <c r="I145" s="5">
        <f>IF(G145="YES",IF(H145="YES","Completed","Pending"),"Not Required")</f>
        <v>0</v>
      </c>
      <c r="J145" s="5">
        <f>IF(AND(G145="YES",H145&lt;&gt;"YES",D145&lt;&gt;"YES"),"High",IF(AND(G145="YES",H145&lt;&gt;"YES"),"Medium","Low"))</f>
        <v>0</v>
      </c>
      <c r="K145" s="5"/>
    </row>
    <row r="146" spans="1:11">
      <c r="A146" s="5"/>
      <c r="B146" s="5"/>
      <c r="C146" s="5"/>
      <c r="D146" s="5"/>
      <c r="E146" s="5"/>
      <c r="F146" s="6"/>
      <c r="G146" s="5">
        <f>IF(F146&gt;=600,"YES","NO")</f>
        <v>0</v>
      </c>
      <c r="H146" s="5"/>
      <c r="I146" s="5">
        <f>IF(G146="YES",IF(H146="YES","Completed","Pending"),"Not Required")</f>
        <v>0</v>
      </c>
      <c r="J146" s="5">
        <f>IF(AND(G146="YES",H146&lt;&gt;"YES",D146&lt;&gt;"YES"),"High",IF(AND(G146="YES",H146&lt;&gt;"YES"),"Medium","Low"))</f>
        <v>0</v>
      </c>
      <c r="K146" s="5"/>
    </row>
    <row r="147" spans="1:11">
      <c r="A147" s="5"/>
      <c r="B147" s="5"/>
      <c r="C147" s="5"/>
      <c r="D147" s="5"/>
      <c r="E147" s="5"/>
      <c r="F147" s="6"/>
      <c r="G147" s="5">
        <f>IF(F147&gt;=600,"YES","NO")</f>
        <v>0</v>
      </c>
      <c r="H147" s="5"/>
      <c r="I147" s="5">
        <f>IF(G147="YES",IF(H147="YES","Completed","Pending"),"Not Required")</f>
        <v>0</v>
      </c>
      <c r="J147" s="5">
        <f>IF(AND(G147="YES",H147&lt;&gt;"YES",D147&lt;&gt;"YES"),"High",IF(AND(G147="YES",H147&lt;&gt;"YES"),"Medium","Low"))</f>
        <v>0</v>
      </c>
      <c r="K147" s="5"/>
    </row>
    <row r="148" spans="1:11">
      <c r="A148" s="5"/>
      <c r="B148" s="5"/>
      <c r="C148" s="5"/>
      <c r="D148" s="5"/>
      <c r="E148" s="5"/>
      <c r="F148" s="6"/>
      <c r="G148" s="5">
        <f>IF(F148&gt;=600,"YES","NO")</f>
        <v>0</v>
      </c>
      <c r="H148" s="5"/>
      <c r="I148" s="5">
        <f>IF(G148="YES",IF(H148="YES","Completed","Pending"),"Not Required")</f>
        <v>0</v>
      </c>
      <c r="J148" s="5">
        <f>IF(AND(G148="YES",H148&lt;&gt;"YES",D148&lt;&gt;"YES"),"High",IF(AND(G148="YES",H148&lt;&gt;"YES"),"Medium","Low"))</f>
        <v>0</v>
      </c>
      <c r="K148" s="5"/>
    </row>
    <row r="149" spans="1:11">
      <c r="A149" s="5"/>
      <c r="B149" s="5"/>
      <c r="C149" s="5"/>
      <c r="D149" s="5"/>
      <c r="E149" s="5"/>
      <c r="F149" s="6"/>
      <c r="G149" s="5">
        <f>IF(F149&gt;=600,"YES","NO")</f>
        <v>0</v>
      </c>
      <c r="H149" s="5"/>
      <c r="I149" s="5">
        <f>IF(G149="YES",IF(H149="YES","Completed","Pending"),"Not Required")</f>
        <v>0</v>
      </c>
      <c r="J149" s="5">
        <f>IF(AND(G149="YES",H149&lt;&gt;"YES",D149&lt;&gt;"YES"),"High",IF(AND(G149="YES",H149&lt;&gt;"YES"),"Medium","Low"))</f>
        <v>0</v>
      </c>
      <c r="K149" s="5"/>
    </row>
    <row r="150" spans="1:11">
      <c r="A150" s="5"/>
      <c r="B150" s="5"/>
      <c r="C150" s="5"/>
      <c r="D150" s="5"/>
      <c r="E150" s="5"/>
      <c r="F150" s="6"/>
      <c r="G150" s="5">
        <f>IF(F150&gt;=600,"YES","NO")</f>
        <v>0</v>
      </c>
      <c r="H150" s="5"/>
      <c r="I150" s="5">
        <f>IF(G150="YES",IF(H150="YES","Completed","Pending"),"Not Required")</f>
        <v>0</v>
      </c>
      <c r="J150" s="5">
        <f>IF(AND(G150="YES",H150&lt;&gt;"YES",D150&lt;&gt;"YES"),"High",IF(AND(G150="YES",H150&lt;&gt;"YES"),"Medium","Low"))</f>
        <v>0</v>
      </c>
      <c r="K150" s="5"/>
    </row>
    <row r="151" spans="1:11">
      <c r="A151" s="5"/>
      <c r="B151" s="5"/>
      <c r="C151" s="5"/>
      <c r="D151" s="5"/>
      <c r="E151" s="5"/>
      <c r="F151" s="6"/>
      <c r="G151" s="5">
        <f>IF(F151&gt;=600,"YES","NO")</f>
        <v>0</v>
      </c>
      <c r="H151" s="5"/>
      <c r="I151" s="5">
        <f>IF(G151="YES",IF(H151="YES","Completed","Pending"),"Not Required")</f>
        <v>0</v>
      </c>
      <c r="J151" s="5">
        <f>IF(AND(G151="YES",H151&lt;&gt;"YES",D151&lt;&gt;"YES"),"High",IF(AND(G151="YES",H151&lt;&gt;"YES"),"Medium","Low"))</f>
        <v>0</v>
      </c>
      <c r="K151" s="5"/>
    </row>
    <row r="152" spans="1:11">
      <c r="A152" s="5"/>
      <c r="B152" s="5"/>
      <c r="C152" s="5"/>
      <c r="D152" s="5"/>
      <c r="E152" s="5"/>
      <c r="F152" s="6"/>
      <c r="G152" s="5">
        <f>IF(F152&gt;=600,"YES","NO")</f>
        <v>0</v>
      </c>
      <c r="H152" s="5"/>
      <c r="I152" s="5">
        <f>IF(G152="YES",IF(H152="YES","Completed","Pending"),"Not Required")</f>
        <v>0</v>
      </c>
      <c r="J152" s="5">
        <f>IF(AND(G152="YES",H152&lt;&gt;"YES",D152&lt;&gt;"YES"),"High",IF(AND(G152="YES",H152&lt;&gt;"YES"),"Medium","Low"))</f>
        <v>0</v>
      </c>
      <c r="K152" s="5"/>
    </row>
    <row r="153" spans="1:11">
      <c r="A153" s="5"/>
      <c r="B153" s="5"/>
      <c r="C153" s="5"/>
      <c r="D153" s="5"/>
      <c r="E153" s="5"/>
      <c r="F153" s="6"/>
      <c r="G153" s="5">
        <f>IF(F153&gt;=600,"YES","NO")</f>
        <v>0</v>
      </c>
      <c r="H153" s="5"/>
      <c r="I153" s="5">
        <f>IF(G153="YES",IF(H153="YES","Completed","Pending"),"Not Required")</f>
        <v>0</v>
      </c>
      <c r="J153" s="5">
        <f>IF(AND(G153="YES",H153&lt;&gt;"YES",D153&lt;&gt;"YES"),"High",IF(AND(G153="YES",H153&lt;&gt;"YES"),"Medium","Low"))</f>
        <v>0</v>
      </c>
      <c r="K153" s="5"/>
    </row>
    <row r="154" spans="1:11">
      <c r="A154" s="5"/>
      <c r="B154" s="5"/>
      <c r="C154" s="5"/>
      <c r="D154" s="5"/>
      <c r="E154" s="5"/>
      <c r="F154" s="6"/>
      <c r="G154" s="5">
        <f>IF(F154&gt;=600,"YES","NO")</f>
        <v>0</v>
      </c>
      <c r="H154" s="5"/>
      <c r="I154" s="5">
        <f>IF(G154="YES",IF(H154="YES","Completed","Pending"),"Not Required")</f>
        <v>0</v>
      </c>
      <c r="J154" s="5">
        <f>IF(AND(G154="YES",H154&lt;&gt;"YES",D154&lt;&gt;"YES"),"High",IF(AND(G154="YES",H154&lt;&gt;"YES"),"Medium","Low"))</f>
        <v>0</v>
      </c>
      <c r="K154" s="5"/>
    </row>
    <row r="155" spans="1:11">
      <c r="A155" s="5"/>
      <c r="B155" s="5"/>
      <c r="C155" s="5"/>
      <c r="D155" s="5"/>
      <c r="E155" s="5"/>
      <c r="F155" s="6"/>
      <c r="G155" s="5">
        <f>IF(F155&gt;=600,"YES","NO")</f>
        <v>0</v>
      </c>
      <c r="H155" s="5"/>
      <c r="I155" s="5">
        <f>IF(G155="YES",IF(H155="YES","Completed","Pending"),"Not Required")</f>
        <v>0</v>
      </c>
      <c r="J155" s="5">
        <f>IF(AND(G155="YES",H155&lt;&gt;"YES",D155&lt;&gt;"YES"),"High",IF(AND(G155="YES",H155&lt;&gt;"YES"),"Medium","Low"))</f>
        <v>0</v>
      </c>
      <c r="K155" s="5"/>
    </row>
    <row r="156" spans="1:11">
      <c r="A156" s="5"/>
      <c r="B156" s="5"/>
      <c r="C156" s="5"/>
      <c r="D156" s="5"/>
      <c r="E156" s="5"/>
      <c r="F156" s="6"/>
      <c r="G156" s="5">
        <f>IF(F156&gt;=600,"YES","NO")</f>
        <v>0</v>
      </c>
      <c r="H156" s="5"/>
      <c r="I156" s="5">
        <f>IF(G156="YES",IF(H156="YES","Completed","Pending"),"Not Required")</f>
        <v>0</v>
      </c>
      <c r="J156" s="5">
        <f>IF(AND(G156="YES",H156&lt;&gt;"YES",D156&lt;&gt;"YES"),"High",IF(AND(G156="YES",H156&lt;&gt;"YES"),"Medium","Low"))</f>
        <v>0</v>
      </c>
      <c r="K156" s="5"/>
    </row>
    <row r="157" spans="1:11">
      <c r="A157" s="5"/>
      <c r="B157" s="5"/>
      <c r="C157" s="5"/>
      <c r="D157" s="5"/>
      <c r="E157" s="5"/>
      <c r="F157" s="6"/>
      <c r="G157" s="5">
        <f>IF(F157&gt;=600,"YES","NO")</f>
        <v>0</v>
      </c>
      <c r="H157" s="5"/>
      <c r="I157" s="5">
        <f>IF(G157="YES",IF(H157="YES","Completed","Pending"),"Not Required")</f>
        <v>0</v>
      </c>
      <c r="J157" s="5">
        <f>IF(AND(G157="YES",H157&lt;&gt;"YES",D157&lt;&gt;"YES"),"High",IF(AND(G157="YES",H157&lt;&gt;"YES"),"Medium","Low"))</f>
        <v>0</v>
      </c>
      <c r="K157" s="5"/>
    </row>
    <row r="158" spans="1:11">
      <c r="A158" s="5"/>
      <c r="B158" s="5"/>
      <c r="C158" s="5"/>
      <c r="D158" s="5"/>
      <c r="E158" s="5"/>
      <c r="F158" s="6"/>
      <c r="G158" s="5">
        <f>IF(F158&gt;=600,"YES","NO")</f>
        <v>0</v>
      </c>
      <c r="H158" s="5"/>
      <c r="I158" s="5">
        <f>IF(G158="YES",IF(H158="YES","Completed","Pending"),"Not Required")</f>
        <v>0</v>
      </c>
      <c r="J158" s="5">
        <f>IF(AND(G158="YES",H158&lt;&gt;"YES",D158&lt;&gt;"YES"),"High",IF(AND(G158="YES",H158&lt;&gt;"YES"),"Medium","Low"))</f>
        <v>0</v>
      </c>
      <c r="K158" s="5"/>
    </row>
    <row r="159" spans="1:11">
      <c r="A159" s="5"/>
      <c r="B159" s="5"/>
      <c r="C159" s="5"/>
      <c r="D159" s="5"/>
      <c r="E159" s="5"/>
      <c r="F159" s="6"/>
      <c r="G159" s="5">
        <f>IF(F159&gt;=600,"YES","NO")</f>
        <v>0</v>
      </c>
      <c r="H159" s="5"/>
      <c r="I159" s="5">
        <f>IF(G159="YES",IF(H159="YES","Completed","Pending"),"Not Required")</f>
        <v>0</v>
      </c>
      <c r="J159" s="5">
        <f>IF(AND(G159="YES",H159&lt;&gt;"YES",D159&lt;&gt;"YES"),"High",IF(AND(G159="YES",H159&lt;&gt;"YES"),"Medium","Low"))</f>
        <v>0</v>
      </c>
      <c r="K159" s="5"/>
    </row>
    <row r="160" spans="1:11">
      <c r="A160" s="5"/>
      <c r="B160" s="5"/>
      <c r="C160" s="5"/>
      <c r="D160" s="5"/>
      <c r="E160" s="5"/>
      <c r="F160" s="6"/>
      <c r="G160" s="5">
        <f>IF(F160&gt;=600,"YES","NO")</f>
        <v>0</v>
      </c>
      <c r="H160" s="5"/>
      <c r="I160" s="5">
        <f>IF(G160="YES",IF(H160="YES","Completed","Pending"),"Not Required")</f>
        <v>0</v>
      </c>
      <c r="J160" s="5">
        <f>IF(AND(G160="YES",H160&lt;&gt;"YES",D160&lt;&gt;"YES"),"High",IF(AND(G160="YES",H160&lt;&gt;"YES"),"Medium","Low"))</f>
        <v>0</v>
      </c>
      <c r="K160" s="5"/>
    </row>
    <row r="161" spans="1:11">
      <c r="A161" s="5"/>
      <c r="B161" s="5"/>
      <c r="C161" s="5"/>
      <c r="D161" s="5"/>
      <c r="E161" s="5"/>
      <c r="F161" s="6"/>
      <c r="G161" s="5">
        <f>IF(F161&gt;=600,"YES","NO")</f>
        <v>0</v>
      </c>
      <c r="H161" s="5"/>
      <c r="I161" s="5">
        <f>IF(G161="YES",IF(H161="YES","Completed","Pending"),"Not Required")</f>
        <v>0</v>
      </c>
      <c r="J161" s="5">
        <f>IF(AND(G161="YES",H161&lt;&gt;"YES",D161&lt;&gt;"YES"),"High",IF(AND(G161="YES",H161&lt;&gt;"YES"),"Medium","Low"))</f>
        <v>0</v>
      </c>
      <c r="K161" s="5"/>
    </row>
    <row r="162" spans="1:11">
      <c r="A162" s="5"/>
      <c r="B162" s="5"/>
      <c r="C162" s="5"/>
      <c r="D162" s="5"/>
      <c r="E162" s="5"/>
      <c r="F162" s="6"/>
      <c r="G162" s="5">
        <f>IF(F162&gt;=600,"YES","NO")</f>
        <v>0</v>
      </c>
      <c r="H162" s="5"/>
      <c r="I162" s="5">
        <f>IF(G162="YES",IF(H162="YES","Completed","Pending"),"Not Required")</f>
        <v>0</v>
      </c>
      <c r="J162" s="5">
        <f>IF(AND(G162="YES",H162&lt;&gt;"YES",D162&lt;&gt;"YES"),"High",IF(AND(G162="YES",H162&lt;&gt;"YES"),"Medium","Low"))</f>
        <v>0</v>
      </c>
      <c r="K162" s="5"/>
    </row>
    <row r="163" spans="1:11">
      <c r="A163" s="5"/>
      <c r="B163" s="5"/>
      <c r="C163" s="5"/>
      <c r="D163" s="5"/>
      <c r="E163" s="5"/>
      <c r="F163" s="6"/>
      <c r="G163" s="5">
        <f>IF(F163&gt;=600,"YES","NO")</f>
        <v>0</v>
      </c>
      <c r="H163" s="5"/>
      <c r="I163" s="5">
        <f>IF(G163="YES",IF(H163="YES","Completed","Pending"),"Not Required")</f>
        <v>0</v>
      </c>
      <c r="J163" s="5">
        <f>IF(AND(G163="YES",H163&lt;&gt;"YES",D163&lt;&gt;"YES"),"High",IF(AND(G163="YES",H163&lt;&gt;"YES"),"Medium","Low"))</f>
        <v>0</v>
      </c>
      <c r="K163" s="5"/>
    </row>
    <row r="164" spans="1:11">
      <c r="A164" s="5"/>
      <c r="B164" s="5"/>
      <c r="C164" s="5"/>
      <c r="D164" s="5"/>
      <c r="E164" s="5"/>
      <c r="F164" s="6"/>
      <c r="G164" s="5">
        <f>IF(F164&gt;=600,"YES","NO")</f>
        <v>0</v>
      </c>
      <c r="H164" s="5"/>
      <c r="I164" s="5">
        <f>IF(G164="YES",IF(H164="YES","Completed","Pending"),"Not Required")</f>
        <v>0</v>
      </c>
      <c r="J164" s="5">
        <f>IF(AND(G164="YES",H164&lt;&gt;"YES",D164&lt;&gt;"YES"),"High",IF(AND(G164="YES",H164&lt;&gt;"YES"),"Medium","Low"))</f>
        <v>0</v>
      </c>
      <c r="K164" s="5"/>
    </row>
    <row r="165" spans="1:11">
      <c r="A165" s="5"/>
      <c r="B165" s="5"/>
      <c r="C165" s="5"/>
      <c r="D165" s="5"/>
      <c r="E165" s="5"/>
      <c r="F165" s="6"/>
      <c r="G165" s="5">
        <f>IF(F165&gt;=600,"YES","NO")</f>
        <v>0</v>
      </c>
      <c r="H165" s="5"/>
      <c r="I165" s="5">
        <f>IF(G165="YES",IF(H165="YES","Completed","Pending"),"Not Required")</f>
        <v>0</v>
      </c>
      <c r="J165" s="5">
        <f>IF(AND(G165="YES",H165&lt;&gt;"YES",D165&lt;&gt;"YES"),"High",IF(AND(G165="YES",H165&lt;&gt;"YES"),"Medium","Low"))</f>
        <v>0</v>
      </c>
      <c r="K165" s="5"/>
    </row>
    <row r="166" spans="1:11">
      <c r="A166" s="5"/>
      <c r="B166" s="5"/>
      <c r="C166" s="5"/>
      <c r="D166" s="5"/>
      <c r="E166" s="5"/>
      <c r="F166" s="6"/>
      <c r="G166" s="5">
        <f>IF(F166&gt;=600,"YES","NO")</f>
        <v>0</v>
      </c>
      <c r="H166" s="5"/>
      <c r="I166" s="5">
        <f>IF(G166="YES",IF(H166="YES","Completed","Pending"),"Not Required")</f>
        <v>0</v>
      </c>
      <c r="J166" s="5">
        <f>IF(AND(G166="YES",H166&lt;&gt;"YES",D166&lt;&gt;"YES"),"High",IF(AND(G166="YES",H166&lt;&gt;"YES"),"Medium","Low"))</f>
        <v>0</v>
      </c>
      <c r="K166" s="5"/>
    </row>
    <row r="167" spans="1:11">
      <c r="A167" s="5"/>
      <c r="B167" s="5"/>
      <c r="C167" s="5"/>
      <c r="D167" s="5"/>
      <c r="E167" s="5"/>
      <c r="F167" s="6"/>
      <c r="G167" s="5">
        <f>IF(F167&gt;=600,"YES","NO")</f>
        <v>0</v>
      </c>
      <c r="H167" s="5"/>
      <c r="I167" s="5">
        <f>IF(G167="YES",IF(H167="YES","Completed","Pending"),"Not Required")</f>
        <v>0</v>
      </c>
      <c r="J167" s="5">
        <f>IF(AND(G167="YES",H167&lt;&gt;"YES",D167&lt;&gt;"YES"),"High",IF(AND(G167="YES",H167&lt;&gt;"YES"),"Medium","Low"))</f>
        <v>0</v>
      </c>
      <c r="K167" s="5"/>
    </row>
    <row r="168" spans="1:11">
      <c r="A168" s="5"/>
      <c r="B168" s="5"/>
      <c r="C168" s="5"/>
      <c r="D168" s="5"/>
      <c r="E168" s="5"/>
      <c r="F168" s="6"/>
      <c r="G168" s="5">
        <f>IF(F168&gt;=600,"YES","NO")</f>
        <v>0</v>
      </c>
      <c r="H168" s="5"/>
      <c r="I168" s="5">
        <f>IF(G168="YES",IF(H168="YES","Completed","Pending"),"Not Required")</f>
        <v>0</v>
      </c>
      <c r="J168" s="5">
        <f>IF(AND(G168="YES",H168&lt;&gt;"YES",D168&lt;&gt;"YES"),"High",IF(AND(G168="YES",H168&lt;&gt;"YES"),"Medium","Low"))</f>
        <v>0</v>
      </c>
      <c r="K168" s="5"/>
    </row>
    <row r="169" spans="1:11">
      <c r="A169" s="5"/>
      <c r="B169" s="5"/>
      <c r="C169" s="5"/>
      <c r="D169" s="5"/>
      <c r="E169" s="5"/>
      <c r="F169" s="6"/>
      <c r="G169" s="5">
        <f>IF(F169&gt;=600,"YES","NO")</f>
        <v>0</v>
      </c>
      <c r="H169" s="5"/>
      <c r="I169" s="5">
        <f>IF(G169="YES",IF(H169="YES","Completed","Pending"),"Not Required")</f>
        <v>0</v>
      </c>
      <c r="J169" s="5">
        <f>IF(AND(G169="YES",H169&lt;&gt;"YES",D169&lt;&gt;"YES"),"High",IF(AND(G169="YES",H169&lt;&gt;"YES"),"Medium","Low"))</f>
        <v>0</v>
      </c>
      <c r="K169" s="5"/>
    </row>
    <row r="170" spans="1:11">
      <c r="A170" s="5"/>
      <c r="B170" s="5"/>
      <c r="C170" s="5"/>
      <c r="D170" s="5"/>
      <c r="E170" s="5"/>
      <c r="F170" s="6"/>
      <c r="G170" s="5">
        <f>IF(F170&gt;=600,"YES","NO")</f>
        <v>0</v>
      </c>
      <c r="H170" s="5"/>
      <c r="I170" s="5">
        <f>IF(G170="YES",IF(H170="YES","Completed","Pending"),"Not Required")</f>
        <v>0</v>
      </c>
      <c r="J170" s="5">
        <f>IF(AND(G170="YES",H170&lt;&gt;"YES",D170&lt;&gt;"YES"),"High",IF(AND(G170="YES",H170&lt;&gt;"YES"),"Medium","Low"))</f>
        <v>0</v>
      </c>
      <c r="K170" s="5"/>
    </row>
    <row r="171" spans="1:11">
      <c r="A171" s="5"/>
      <c r="B171" s="5"/>
      <c r="C171" s="5"/>
      <c r="D171" s="5"/>
      <c r="E171" s="5"/>
      <c r="F171" s="6"/>
      <c r="G171" s="5">
        <f>IF(F171&gt;=600,"YES","NO")</f>
        <v>0</v>
      </c>
      <c r="H171" s="5"/>
      <c r="I171" s="5">
        <f>IF(G171="YES",IF(H171="YES","Completed","Pending"),"Not Required")</f>
        <v>0</v>
      </c>
      <c r="J171" s="5">
        <f>IF(AND(G171="YES",H171&lt;&gt;"YES",D171&lt;&gt;"YES"),"High",IF(AND(G171="YES",H171&lt;&gt;"YES"),"Medium","Low"))</f>
        <v>0</v>
      </c>
      <c r="K171" s="5"/>
    </row>
    <row r="172" spans="1:11">
      <c r="A172" s="5"/>
      <c r="B172" s="5"/>
      <c r="C172" s="5"/>
      <c r="D172" s="5"/>
      <c r="E172" s="5"/>
      <c r="F172" s="6"/>
      <c r="G172" s="5">
        <f>IF(F172&gt;=600,"YES","NO")</f>
        <v>0</v>
      </c>
      <c r="H172" s="5"/>
      <c r="I172" s="5">
        <f>IF(G172="YES",IF(H172="YES","Completed","Pending"),"Not Required")</f>
        <v>0</v>
      </c>
      <c r="J172" s="5">
        <f>IF(AND(G172="YES",H172&lt;&gt;"YES",D172&lt;&gt;"YES"),"High",IF(AND(G172="YES",H172&lt;&gt;"YES"),"Medium","Low"))</f>
        <v>0</v>
      </c>
      <c r="K172" s="5"/>
    </row>
    <row r="173" spans="1:11">
      <c r="A173" s="5"/>
      <c r="B173" s="5"/>
      <c r="C173" s="5"/>
      <c r="D173" s="5"/>
      <c r="E173" s="5"/>
      <c r="F173" s="6"/>
      <c r="G173" s="5">
        <f>IF(F173&gt;=600,"YES","NO")</f>
        <v>0</v>
      </c>
      <c r="H173" s="5"/>
      <c r="I173" s="5">
        <f>IF(G173="YES",IF(H173="YES","Completed","Pending"),"Not Required")</f>
        <v>0</v>
      </c>
      <c r="J173" s="5">
        <f>IF(AND(G173="YES",H173&lt;&gt;"YES",D173&lt;&gt;"YES"),"High",IF(AND(G173="YES",H173&lt;&gt;"YES"),"Medium","Low"))</f>
        <v>0</v>
      </c>
      <c r="K173" s="5"/>
    </row>
    <row r="174" spans="1:11">
      <c r="A174" s="5"/>
      <c r="B174" s="5"/>
      <c r="C174" s="5"/>
      <c r="D174" s="5"/>
      <c r="E174" s="5"/>
      <c r="F174" s="6"/>
      <c r="G174" s="5">
        <f>IF(F174&gt;=600,"YES","NO")</f>
        <v>0</v>
      </c>
      <c r="H174" s="5"/>
      <c r="I174" s="5">
        <f>IF(G174="YES",IF(H174="YES","Completed","Pending"),"Not Required")</f>
        <v>0</v>
      </c>
      <c r="J174" s="5">
        <f>IF(AND(G174="YES",H174&lt;&gt;"YES",D174&lt;&gt;"YES"),"High",IF(AND(G174="YES",H174&lt;&gt;"YES"),"Medium","Low"))</f>
        <v>0</v>
      </c>
      <c r="K174" s="5"/>
    </row>
    <row r="175" spans="1:11">
      <c r="A175" s="5"/>
      <c r="B175" s="5"/>
      <c r="C175" s="5"/>
      <c r="D175" s="5"/>
      <c r="E175" s="5"/>
      <c r="F175" s="6"/>
      <c r="G175" s="5">
        <f>IF(F175&gt;=600,"YES","NO")</f>
        <v>0</v>
      </c>
      <c r="H175" s="5"/>
      <c r="I175" s="5">
        <f>IF(G175="YES",IF(H175="YES","Completed","Pending"),"Not Required")</f>
        <v>0</v>
      </c>
      <c r="J175" s="5">
        <f>IF(AND(G175="YES",H175&lt;&gt;"YES",D175&lt;&gt;"YES"),"High",IF(AND(G175="YES",H175&lt;&gt;"YES"),"Medium","Low"))</f>
        <v>0</v>
      </c>
      <c r="K175" s="5"/>
    </row>
    <row r="176" spans="1:11">
      <c r="A176" s="5"/>
      <c r="B176" s="5"/>
      <c r="C176" s="5"/>
      <c r="D176" s="5"/>
      <c r="E176" s="5"/>
      <c r="F176" s="6"/>
      <c r="G176" s="5">
        <f>IF(F176&gt;=600,"YES","NO")</f>
        <v>0</v>
      </c>
      <c r="H176" s="5"/>
      <c r="I176" s="5">
        <f>IF(G176="YES",IF(H176="YES","Completed","Pending"),"Not Required")</f>
        <v>0</v>
      </c>
      <c r="J176" s="5">
        <f>IF(AND(G176="YES",H176&lt;&gt;"YES",D176&lt;&gt;"YES"),"High",IF(AND(G176="YES",H176&lt;&gt;"YES"),"Medium","Low"))</f>
        <v>0</v>
      </c>
      <c r="K176" s="5"/>
    </row>
    <row r="177" spans="1:11">
      <c r="A177" s="5"/>
      <c r="B177" s="5"/>
      <c r="C177" s="5"/>
      <c r="D177" s="5"/>
      <c r="E177" s="5"/>
      <c r="F177" s="6"/>
      <c r="G177" s="5">
        <f>IF(F177&gt;=600,"YES","NO")</f>
        <v>0</v>
      </c>
      <c r="H177" s="5"/>
      <c r="I177" s="5">
        <f>IF(G177="YES",IF(H177="YES","Completed","Pending"),"Not Required")</f>
        <v>0</v>
      </c>
      <c r="J177" s="5">
        <f>IF(AND(G177="YES",H177&lt;&gt;"YES",D177&lt;&gt;"YES"),"High",IF(AND(G177="YES",H177&lt;&gt;"YES"),"Medium","Low"))</f>
        <v>0</v>
      </c>
      <c r="K177" s="5"/>
    </row>
    <row r="178" spans="1:11">
      <c r="A178" s="5"/>
      <c r="B178" s="5"/>
      <c r="C178" s="5"/>
      <c r="D178" s="5"/>
      <c r="E178" s="5"/>
      <c r="F178" s="6"/>
      <c r="G178" s="5">
        <f>IF(F178&gt;=600,"YES","NO")</f>
        <v>0</v>
      </c>
      <c r="H178" s="5"/>
      <c r="I178" s="5">
        <f>IF(G178="YES",IF(H178="YES","Completed","Pending"),"Not Required")</f>
        <v>0</v>
      </c>
      <c r="J178" s="5">
        <f>IF(AND(G178="YES",H178&lt;&gt;"YES",D178&lt;&gt;"YES"),"High",IF(AND(G178="YES",H178&lt;&gt;"YES"),"Medium","Low"))</f>
        <v>0</v>
      </c>
      <c r="K178" s="5"/>
    </row>
    <row r="179" spans="1:11">
      <c r="A179" s="5"/>
      <c r="B179" s="5"/>
      <c r="C179" s="5"/>
      <c r="D179" s="5"/>
      <c r="E179" s="5"/>
      <c r="F179" s="6"/>
      <c r="G179" s="5">
        <f>IF(F179&gt;=600,"YES","NO")</f>
        <v>0</v>
      </c>
      <c r="H179" s="5"/>
      <c r="I179" s="5">
        <f>IF(G179="YES",IF(H179="YES","Completed","Pending"),"Not Required")</f>
        <v>0</v>
      </c>
      <c r="J179" s="5">
        <f>IF(AND(G179="YES",H179&lt;&gt;"YES",D179&lt;&gt;"YES"),"High",IF(AND(G179="YES",H179&lt;&gt;"YES"),"Medium","Low"))</f>
        <v>0</v>
      </c>
      <c r="K179" s="5"/>
    </row>
    <row r="180" spans="1:11">
      <c r="A180" s="5"/>
      <c r="B180" s="5"/>
      <c r="C180" s="5"/>
      <c r="D180" s="5"/>
      <c r="E180" s="5"/>
      <c r="F180" s="6"/>
      <c r="G180" s="5">
        <f>IF(F180&gt;=600,"YES","NO")</f>
        <v>0</v>
      </c>
      <c r="H180" s="5"/>
      <c r="I180" s="5">
        <f>IF(G180="YES",IF(H180="YES","Completed","Pending"),"Not Required")</f>
        <v>0</v>
      </c>
      <c r="J180" s="5">
        <f>IF(AND(G180="YES",H180&lt;&gt;"YES",D180&lt;&gt;"YES"),"High",IF(AND(G180="YES",H180&lt;&gt;"YES"),"Medium","Low"))</f>
        <v>0</v>
      </c>
      <c r="K180" s="5"/>
    </row>
    <row r="181" spans="1:11">
      <c r="A181" s="5"/>
      <c r="B181" s="5"/>
      <c r="C181" s="5"/>
      <c r="D181" s="5"/>
      <c r="E181" s="5"/>
      <c r="F181" s="6"/>
      <c r="G181" s="5">
        <f>IF(F181&gt;=600,"YES","NO")</f>
        <v>0</v>
      </c>
      <c r="H181" s="5"/>
      <c r="I181" s="5">
        <f>IF(G181="YES",IF(H181="YES","Completed","Pending"),"Not Required")</f>
        <v>0</v>
      </c>
      <c r="J181" s="5">
        <f>IF(AND(G181="YES",H181&lt;&gt;"YES",D181&lt;&gt;"YES"),"High",IF(AND(G181="YES",H181&lt;&gt;"YES"),"Medium","Low"))</f>
        <v>0</v>
      </c>
      <c r="K181" s="5"/>
    </row>
    <row r="182" spans="1:11">
      <c r="A182" s="5"/>
      <c r="B182" s="5"/>
      <c r="C182" s="5"/>
      <c r="D182" s="5"/>
      <c r="E182" s="5"/>
      <c r="F182" s="6"/>
      <c r="G182" s="5">
        <f>IF(F182&gt;=600,"YES","NO")</f>
        <v>0</v>
      </c>
      <c r="H182" s="5"/>
      <c r="I182" s="5">
        <f>IF(G182="YES",IF(H182="YES","Completed","Pending"),"Not Required")</f>
        <v>0</v>
      </c>
      <c r="J182" s="5">
        <f>IF(AND(G182="YES",H182&lt;&gt;"YES",D182&lt;&gt;"YES"),"High",IF(AND(G182="YES",H182&lt;&gt;"YES"),"Medium","Low"))</f>
        <v>0</v>
      </c>
      <c r="K182" s="5"/>
    </row>
    <row r="183" spans="1:11">
      <c r="A183" s="5"/>
      <c r="B183" s="5"/>
      <c r="C183" s="5"/>
      <c r="D183" s="5"/>
      <c r="E183" s="5"/>
      <c r="F183" s="6"/>
      <c r="G183" s="5">
        <f>IF(F183&gt;=600,"YES","NO")</f>
        <v>0</v>
      </c>
      <c r="H183" s="5"/>
      <c r="I183" s="5">
        <f>IF(G183="YES",IF(H183="YES","Completed","Pending"),"Not Required")</f>
        <v>0</v>
      </c>
      <c r="J183" s="5">
        <f>IF(AND(G183="YES",H183&lt;&gt;"YES",D183&lt;&gt;"YES"),"High",IF(AND(G183="YES",H183&lt;&gt;"YES"),"Medium","Low"))</f>
        <v>0</v>
      </c>
      <c r="K183" s="5"/>
    </row>
    <row r="184" spans="1:11">
      <c r="A184" s="5"/>
      <c r="B184" s="5"/>
      <c r="C184" s="5"/>
      <c r="D184" s="5"/>
      <c r="E184" s="5"/>
      <c r="F184" s="6"/>
      <c r="G184" s="5">
        <f>IF(F184&gt;=600,"YES","NO")</f>
        <v>0</v>
      </c>
      <c r="H184" s="5"/>
      <c r="I184" s="5">
        <f>IF(G184="YES",IF(H184="YES","Completed","Pending"),"Not Required")</f>
        <v>0</v>
      </c>
      <c r="J184" s="5">
        <f>IF(AND(G184="YES",H184&lt;&gt;"YES",D184&lt;&gt;"YES"),"High",IF(AND(G184="YES",H184&lt;&gt;"YES"),"Medium","Low"))</f>
        <v>0</v>
      </c>
      <c r="K184" s="5"/>
    </row>
    <row r="185" spans="1:11">
      <c r="A185" s="5"/>
      <c r="B185" s="5"/>
      <c r="C185" s="5"/>
      <c r="D185" s="5"/>
      <c r="E185" s="5"/>
      <c r="F185" s="6"/>
      <c r="G185" s="5">
        <f>IF(F185&gt;=600,"YES","NO")</f>
        <v>0</v>
      </c>
      <c r="H185" s="5"/>
      <c r="I185" s="5">
        <f>IF(G185="YES",IF(H185="YES","Completed","Pending"),"Not Required")</f>
        <v>0</v>
      </c>
      <c r="J185" s="5">
        <f>IF(AND(G185="YES",H185&lt;&gt;"YES",D185&lt;&gt;"YES"),"High",IF(AND(G185="YES",H185&lt;&gt;"YES"),"Medium","Low"))</f>
        <v>0</v>
      </c>
      <c r="K185" s="5"/>
    </row>
    <row r="186" spans="1:11">
      <c r="A186" s="5"/>
      <c r="B186" s="5"/>
      <c r="C186" s="5"/>
      <c r="D186" s="5"/>
      <c r="E186" s="5"/>
      <c r="F186" s="6"/>
      <c r="G186" s="5">
        <f>IF(F186&gt;=600,"YES","NO")</f>
        <v>0</v>
      </c>
      <c r="H186" s="5"/>
      <c r="I186" s="5">
        <f>IF(G186="YES",IF(H186="YES","Completed","Pending"),"Not Required")</f>
        <v>0</v>
      </c>
      <c r="J186" s="5">
        <f>IF(AND(G186="YES",H186&lt;&gt;"YES",D186&lt;&gt;"YES"),"High",IF(AND(G186="YES",H186&lt;&gt;"YES"),"Medium","Low"))</f>
        <v>0</v>
      </c>
      <c r="K186" s="5"/>
    </row>
    <row r="187" spans="1:11">
      <c r="A187" s="5"/>
      <c r="B187" s="5"/>
      <c r="C187" s="5"/>
      <c r="D187" s="5"/>
      <c r="E187" s="5"/>
      <c r="F187" s="6"/>
      <c r="G187" s="5">
        <f>IF(F187&gt;=600,"YES","NO")</f>
        <v>0</v>
      </c>
      <c r="H187" s="5"/>
      <c r="I187" s="5">
        <f>IF(G187="YES",IF(H187="YES","Completed","Pending"),"Not Required")</f>
        <v>0</v>
      </c>
      <c r="J187" s="5">
        <f>IF(AND(G187="YES",H187&lt;&gt;"YES",D187&lt;&gt;"YES"),"High",IF(AND(G187="YES",H187&lt;&gt;"YES"),"Medium","Low"))</f>
        <v>0</v>
      </c>
      <c r="K187" s="5"/>
    </row>
    <row r="188" spans="1:11">
      <c r="A188" s="5"/>
      <c r="B188" s="5"/>
      <c r="C188" s="5"/>
      <c r="D188" s="5"/>
      <c r="E188" s="5"/>
      <c r="F188" s="6"/>
      <c r="G188" s="5">
        <f>IF(F188&gt;=600,"YES","NO")</f>
        <v>0</v>
      </c>
      <c r="H188" s="5"/>
      <c r="I188" s="5">
        <f>IF(G188="YES",IF(H188="YES","Completed","Pending"),"Not Required")</f>
        <v>0</v>
      </c>
      <c r="J188" s="5">
        <f>IF(AND(G188="YES",H188&lt;&gt;"YES",D188&lt;&gt;"YES"),"High",IF(AND(G188="YES",H188&lt;&gt;"YES"),"Medium","Low"))</f>
        <v>0</v>
      </c>
      <c r="K188" s="5"/>
    </row>
    <row r="189" spans="1:11">
      <c r="A189" s="5"/>
      <c r="B189" s="5"/>
      <c r="C189" s="5"/>
      <c r="D189" s="5"/>
      <c r="E189" s="5"/>
      <c r="F189" s="6"/>
      <c r="G189" s="5">
        <f>IF(F189&gt;=600,"YES","NO")</f>
        <v>0</v>
      </c>
      <c r="H189" s="5"/>
      <c r="I189" s="5">
        <f>IF(G189="YES",IF(H189="YES","Completed","Pending"),"Not Required")</f>
        <v>0</v>
      </c>
      <c r="J189" s="5">
        <f>IF(AND(G189="YES",H189&lt;&gt;"YES",D189&lt;&gt;"YES"),"High",IF(AND(G189="YES",H189&lt;&gt;"YES"),"Medium","Low"))</f>
        <v>0</v>
      </c>
      <c r="K189" s="5"/>
    </row>
    <row r="190" spans="1:11">
      <c r="A190" s="5"/>
      <c r="B190" s="5"/>
      <c r="C190" s="5"/>
      <c r="D190" s="5"/>
      <c r="E190" s="5"/>
      <c r="F190" s="6"/>
      <c r="G190" s="5">
        <f>IF(F190&gt;=600,"YES","NO")</f>
        <v>0</v>
      </c>
      <c r="H190" s="5"/>
      <c r="I190" s="5">
        <f>IF(G190="YES",IF(H190="YES","Completed","Pending"),"Not Required")</f>
        <v>0</v>
      </c>
      <c r="J190" s="5">
        <f>IF(AND(G190="YES",H190&lt;&gt;"YES",D190&lt;&gt;"YES"),"High",IF(AND(G190="YES",H190&lt;&gt;"YES"),"Medium","Low"))</f>
        <v>0</v>
      </c>
      <c r="K190" s="5"/>
    </row>
    <row r="191" spans="1:11">
      <c r="A191" s="5"/>
      <c r="B191" s="5"/>
      <c r="C191" s="5"/>
      <c r="D191" s="5"/>
      <c r="E191" s="5"/>
      <c r="F191" s="6"/>
      <c r="G191" s="5">
        <f>IF(F191&gt;=600,"YES","NO")</f>
        <v>0</v>
      </c>
      <c r="H191" s="5"/>
      <c r="I191" s="5">
        <f>IF(G191="YES",IF(H191="YES","Completed","Pending"),"Not Required")</f>
        <v>0</v>
      </c>
      <c r="J191" s="5">
        <f>IF(AND(G191="YES",H191&lt;&gt;"YES",D191&lt;&gt;"YES"),"High",IF(AND(G191="YES",H191&lt;&gt;"YES"),"Medium","Low"))</f>
        <v>0</v>
      </c>
      <c r="K191" s="5"/>
    </row>
    <row r="192" spans="1:11">
      <c r="A192" s="5"/>
      <c r="B192" s="5"/>
      <c r="C192" s="5"/>
      <c r="D192" s="5"/>
      <c r="E192" s="5"/>
      <c r="F192" s="6"/>
      <c r="G192" s="5">
        <f>IF(F192&gt;=600,"YES","NO")</f>
        <v>0</v>
      </c>
      <c r="H192" s="5"/>
      <c r="I192" s="5">
        <f>IF(G192="YES",IF(H192="YES","Completed","Pending"),"Not Required")</f>
        <v>0</v>
      </c>
      <c r="J192" s="5">
        <f>IF(AND(G192="YES",H192&lt;&gt;"YES",D192&lt;&gt;"YES"),"High",IF(AND(G192="YES",H192&lt;&gt;"YES"),"Medium","Low"))</f>
        <v>0</v>
      </c>
      <c r="K192" s="5"/>
    </row>
    <row r="193" spans="1:11">
      <c r="A193" s="5"/>
      <c r="B193" s="5"/>
      <c r="C193" s="5"/>
      <c r="D193" s="5"/>
      <c r="E193" s="5"/>
      <c r="F193" s="6"/>
      <c r="G193" s="5">
        <f>IF(F193&gt;=600,"YES","NO")</f>
        <v>0</v>
      </c>
      <c r="H193" s="5"/>
      <c r="I193" s="5">
        <f>IF(G193="YES",IF(H193="YES","Completed","Pending"),"Not Required")</f>
        <v>0</v>
      </c>
      <c r="J193" s="5">
        <f>IF(AND(G193="YES",H193&lt;&gt;"YES",D193&lt;&gt;"YES"),"High",IF(AND(G193="YES",H193&lt;&gt;"YES"),"Medium","Low"))</f>
        <v>0</v>
      </c>
      <c r="K193" s="5"/>
    </row>
    <row r="194" spans="1:11">
      <c r="A194" s="5"/>
      <c r="B194" s="5"/>
      <c r="C194" s="5"/>
      <c r="D194" s="5"/>
      <c r="E194" s="5"/>
      <c r="F194" s="6"/>
      <c r="G194" s="5">
        <f>IF(F194&gt;=600,"YES","NO")</f>
        <v>0</v>
      </c>
      <c r="H194" s="5"/>
      <c r="I194" s="5">
        <f>IF(G194="YES",IF(H194="YES","Completed","Pending"),"Not Required")</f>
        <v>0</v>
      </c>
      <c r="J194" s="5">
        <f>IF(AND(G194="YES",H194&lt;&gt;"YES",D194&lt;&gt;"YES"),"High",IF(AND(G194="YES",H194&lt;&gt;"YES"),"Medium","Low"))</f>
        <v>0</v>
      </c>
      <c r="K194" s="5"/>
    </row>
    <row r="195" spans="1:11">
      <c r="A195" s="5"/>
      <c r="B195" s="5"/>
      <c r="C195" s="5"/>
      <c r="D195" s="5"/>
      <c r="E195" s="5"/>
      <c r="F195" s="6"/>
      <c r="G195" s="5">
        <f>IF(F195&gt;=600,"YES","NO")</f>
        <v>0</v>
      </c>
      <c r="H195" s="5"/>
      <c r="I195" s="5">
        <f>IF(G195="YES",IF(H195="YES","Completed","Pending"),"Not Required")</f>
        <v>0</v>
      </c>
      <c r="J195" s="5">
        <f>IF(AND(G195="YES",H195&lt;&gt;"YES",D195&lt;&gt;"YES"),"High",IF(AND(G195="YES",H195&lt;&gt;"YES"),"Medium","Low"))</f>
        <v>0</v>
      </c>
      <c r="K195" s="5"/>
    </row>
    <row r="196" spans="1:11">
      <c r="A196" s="5"/>
      <c r="B196" s="5"/>
      <c r="C196" s="5"/>
      <c r="D196" s="5"/>
      <c r="E196" s="5"/>
      <c r="F196" s="6"/>
      <c r="G196" s="5">
        <f>IF(F196&gt;=600,"YES","NO")</f>
        <v>0</v>
      </c>
      <c r="H196" s="5"/>
      <c r="I196" s="5">
        <f>IF(G196="YES",IF(H196="YES","Completed","Pending"),"Not Required")</f>
        <v>0</v>
      </c>
      <c r="J196" s="5">
        <f>IF(AND(G196="YES",H196&lt;&gt;"YES",D196&lt;&gt;"YES"),"High",IF(AND(G196="YES",H196&lt;&gt;"YES"),"Medium","Low"))</f>
        <v>0</v>
      </c>
      <c r="K196" s="5"/>
    </row>
    <row r="197" spans="1:11">
      <c r="A197" s="5"/>
      <c r="B197" s="5"/>
      <c r="C197" s="5"/>
      <c r="D197" s="5"/>
      <c r="E197" s="5"/>
      <c r="F197" s="6"/>
      <c r="G197" s="5">
        <f>IF(F197&gt;=600,"YES","NO")</f>
        <v>0</v>
      </c>
      <c r="H197" s="5"/>
      <c r="I197" s="5">
        <f>IF(G197="YES",IF(H197="YES","Completed","Pending"),"Not Required")</f>
        <v>0</v>
      </c>
      <c r="J197" s="5">
        <f>IF(AND(G197="YES",H197&lt;&gt;"YES",D197&lt;&gt;"YES"),"High",IF(AND(G197="YES",H197&lt;&gt;"YES"),"Medium","Low"))</f>
        <v>0</v>
      </c>
      <c r="K197" s="5"/>
    </row>
    <row r="198" spans="1:11">
      <c r="A198" s="5"/>
      <c r="B198" s="5"/>
      <c r="C198" s="5"/>
      <c r="D198" s="5"/>
      <c r="E198" s="5"/>
      <c r="F198" s="6"/>
      <c r="G198" s="5">
        <f>IF(F198&gt;=600,"YES","NO")</f>
        <v>0</v>
      </c>
      <c r="H198" s="5"/>
      <c r="I198" s="5">
        <f>IF(G198="YES",IF(H198="YES","Completed","Pending"),"Not Required")</f>
        <v>0</v>
      </c>
      <c r="J198" s="5">
        <f>IF(AND(G198="YES",H198&lt;&gt;"YES",D198&lt;&gt;"YES"),"High",IF(AND(G198="YES",H198&lt;&gt;"YES"),"Medium","Low"))</f>
        <v>0</v>
      </c>
      <c r="K198" s="5"/>
    </row>
    <row r="199" spans="1:11">
      <c r="A199" s="5"/>
      <c r="B199" s="5"/>
      <c r="C199" s="5"/>
      <c r="D199" s="5"/>
      <c r="E199" s="5"/>
      <c r="F199" s="6"/>
      <c r="G199" s="5">
        <f>IF(F199&gt;=600,"YES","NO")</f>
        <v>0</v>
      </c>
      <c r="H199" s="5"/>
      <c r="I199" s="5">
        <f>IF(G199="YES",IF(H199="YES","Completed","Pending"),"Not Required")</f>
        <v>0</v>
      </c>
      <c r="J199" s="5">
        <f>IF(AND(G199="YES",H199&lt;&gt;"YES",D199&lt;&gt;"YES"),"High",IF(AND(G199="YES",H199&lt;&gt;"YES"),"Medium","Low"))</f>
        <v>0</v>
      </c>
      <c r="K199" s="5"/>
    </row>
    <row r="200" spans="1:11">
      <c r="A200" s="5"/>
      <c r="B200" s="5"/>
      <c r="C200" s="5"/>
      <c r="D200" s="5"/>
      <c r="E200" s="5"/>
      <c r="F200" s="6"/>
      <c r="G200" s="5">
        <f>IF(F200&gt;=600,"YES","NO")</f>
        <v>0</v>
      </c>
      <c r="H200" s="5"/>
      <c r="I200" s="5">
        <f>IF(G200="YES",IF(H200="YES","Completed","Pending"),"Not Required")</f>
        <v>0</v>
      </c>
      <c r="J200" s="5">
        <f>IF(AND(G200="YES",H200&lt;&gt;"YES",D200&lt;&gt;"YES"),"High",IF(AND(G200="YES",H200&lt;&gt;"YES"),"Medium","Low"))</f>
        <v>0</v>
      </c>
      <c r="K200" s="5"/>
    </row>
    <row r="201" spans="1:11">
      <c r="A201" s="5"/>
      <c r="B201" s="5"/>
      <c r="C201" s="5"/>
      <c r="D201" s="5"/>
      <c r="E201" s="5"/>
      <c r="F201" s="6"/>
      <c r="G201" s="5">
        <f>IF(F201&gt;=600,"YES","NO")</f>
        <v>0</v>
      </c>
      <c r="H201" s="5"/>
      <c r="I201" s="5">
        <f>IF(G201="YES",IF(H201="YES","Completed","Pending"),"Not Required")</f>
        <v>0</v>
      </c>
      <c r="J201" s="5">
        <f>IF(AND(G201="YES",H201&lt;&gt;"YES",D201&lt;&gt;"YES"),"High",IF(AND(G201="YES",H201&lt;&gt;"YES"),"Medium","Low"))</f>
        <v>0</v>
      </c>
      <c r="K201" s="5"/>
    </row>
    <row r="202" spans="1:11">
      <c r="A202" s="5"/>
      <c r="B202" s="5"/>
      <c r="C202" s="5"/>
      <c r="D202" s="5"/>
      <c r="E202" s="5"/>
      <c r="F202" s="6"/>
      <c r="G202" s="5">
        <f>IF(F202&gt;=600,"YES","NO")</f>
        <v>0</v>
      </c>
      <c r="H202" s="5"/>
      <c r="I202" s="5">
        <f>IF(G202="YES",IF(H202="YES","Completed","Pending"),"Not Required")</f>
        <v>0</v>
      </c>
      <c r="J202" s="5">
        <f>IF(AND(G202="YES",H202&lt;&gt;"YES",D202&lt;&gt;"YES"),"High",IF(AND(G202="YES",H202&lt;&gt;"YES"),"Medium","Low"))</f>
        <v>0</v>
      </c>
      <c r="K202" s="5"/>
    </row>
    <row r="203" spans="1:11">
      <c r="A203" s="5"/>
      <c r="B203" s="5"/>
      <c r="C203" s="5"/>
      <c r="D203" s="5"/>
      <c r="E203" s="5"/>
      <c r="F203" s="6"/>
      <c r="G203" s="5">
        <f>IF(F203&gt;=600,"YES","NO")</f>
        <v>0</v>
      </c>
      <c r="H203" s="5"/>
      <c r="I203" s="5">
        <f>IF(G203="YES",IF(H203="YES","Completed","Pending"),"Not Required")</f>
        <v>0</v>
      </c>
      <c r="J203" s="5">
        <f>IF(AND(G203="YES",H203&lt;&gt;"YES",D203&lt;&gt;"YES"),"High",IF(AND(G203="YES",H203&lt;&gt;"YES"),"Medium","Low"))</f>
        <v>0</v>
      </c>
      <c r="K203" s="5"/>
    </row>
    <row r="204" spans="1:11">
      <c r="A204" s="5"/>
      <c r="B204" s="5"/>
      <c r="C204" s="5"/>
      <c r="D204" s="5"/>
      <c r="E204" s="5"/>
      <c r="F204" s="6"/>
      <c r="G204" s="5">
        <f>IF(F204&gt;=600,"YES","NO")</f>
        <v>0</v>
      </c>
      <c r="H204" s="5"/>
      <c r="I204" s="5">
        <f>IF(G204="YES",IF(H204="YES","Completed","Pending"),"Not Required")</f>
        <v>0</v>
      </c>
      <c r="J204" s="5">
        <f>IF(AND(G204="YES",H204&lt;&gt;"YES",D204&lt;&gt;"YES"),"High",IF(AND(G204="YES",H204&lt;&gt;"YES"),"Medium","Low"))</f>
        <v>0</v>
      </c>
      <c r="K204" s="5"/>
    </row>
    <row r="205" spans="1:11">
      <c r="A205" s="5"/>
      <c r="B205" s="5"/>
      <c r="C205" s="5"/>
      <c r="D205" s="5"/>
      <c r="E205" s="5"/>
      <c r="F205" s="6"/>
      <c r="G205" s="5">
        <f>IF(F205&gt;=600,"YES","NO")</f>
        <v>0</v>
      </c>
      <c r="H205" s="5"/>
      <c r="I205" s="5">
        <f>IF(G205="YES",IF(H205="YES","Completed","Pending"),"Not Required")</f>
        <v>0</v>
      </c>
      <c r="J205" s="5">
        <f>IF(AND(G205="YES",H205&lt;&gt;"YES",D205&lt;&gt;"YES"),"High",IF(AND(G205="YES",H205&lt;&gt;"YES"),"Medium","Low"))</f>
        <v>0</v>
      </c>
      <c r="K205" s="5"/>
    </row>
    <row r="206" spans="1:11">
      <c r="A206" s="5"/>
      <c r="B206" s="5"/>
      <c r="C206" s="5"/>
      <c r="D206" s="5"/>
      <c r="E206" s="5"/>
      <c r="F206" s="6"/>
      <c r="G206" s="5">
        <f>IF(F206&gt;=600,"YES","NO")</f>
        <v>0</v>
      </c>
      <c r="H206" s="5"/>
      <c r="I206" s="5">
        <f>IF(G206="YES",IF(H206="YES","Completed","Pending"),"Not Required")</f>
        <v>0</v>
      </c>
      <c r="J206" s="5">
        <f>IF(AND(G206="YES",H206&lt;&gt;"YES",D206&lt;&gt;"YES"),"High",IF(AND(G206="YES",H206&lt;&gt;"YES"),"Medium","Low"))</f>
        <v>0</v>
      </c>
      <c r="K206" s="5"/>
    </row>
  </sheetData>
  <conditionalFormatting sqref="A7:K206">
    <cfRule type="expression" dxfId="0" priority="1">
      <formula>$J7="High"</formula>
    </cfRule>
    <cfRule type="expression" dxfId="1" priority="2">
      <formula>$J7="Medium"</formula>
    </cfRule>
    <cfRule type="expression" dxfId="2" priority="3">
      <formula>$I7="Completed"</formula>
    </cfRule>
  </conditionalFormatting>
  <dataValidations count="600">
    <dataValidation type="list" allowBlank="1" showInputMessage="1" showErrorMessage="1" prompt="Select YES or NO" sqref="D7">
      <formula1>"YES,NO"</formula1>
    </dataValidation>
    <dataValidation type="list" allowBlank="1" showInputMessage="1" showErrorMessage="1" prompt="Select YES or NO" sqref="E7">
      <formula1>"YES,NO"</formula1>
    </dataValidation>
    <dataValidation type="list" allowBlank="1" showInputMessage="1" showErrorMessage="1" prompt="Select YES or NO" sqref="H7">
      <formula1>"YES,NO"</formula1>
    </dataValidation>
    <dataValidation type="list" allowBlank="1" showInputMessage="1" showErrorMessage="1" prompt="Select YES or NO" sqref="D8">
      <formula1>"YES,NO"</formula1>
    </dataValidation>
    <dataValidation type="list" allowBlank="1" showInputMessage="1" showErrorMessage="1" prompt="Select YES or NO" sqref="E8">
      <formula1>"YES,NO"</formula1>
    </dataValidation>
    <dataValidation type="list" allowBlank="1" showInputMessage="1" showErrorMessage="1" prompt="Select YES or NO" sqref="H8">
      <formula1>"YES,NO"</formula1>
    </dataValidation>
    <dataValidation type="list" allowBlank="1" showInputMessage="1" showErrorMessage="1" prompt="Select YES or NO" sqref="D9">
      <formula1>"YES,NO"</formula1>
    </dataValidation>
    <dataValidation type="list" allowBlank="1" showInputMessage="1" showErrorMessage="1" prompt="Select YES or NO" sqref="E9">
      <formula1>"YES,NO"</formula1>
    </dataValidation>
    <dataValidation type="list" allowBlank="1" showInputMessage="1" showErrorMessage="1" prompt="Select YES or NO" sqref="H9">
      <formula1>"YES,NO"</formula1>
    </dataValidation>
    <dataValidation type="list" allowBlank="1" showInputMessage="1" showErrorMessage="1" prompt="Select YES or NO" sqref="D10">
      <formula1>"YES,NO"</formula1>
    </dataValidation>
    <dataValidation type="list" allowBlank="1" showInputMessage="1" showErrorMessage="1" prompt="Select YES or NO" sqref="E10">
      <formula1>"YES,NO"</formula1>
    </dataValidation>
    <dataValidation type="list" allowBlank="1" showInputMessage="1" showErrorMessage="1" prompt="Select YES or NO" sqref="H10">
      <formula1>"YES,NO"</formula1>
    </dataValidation>
    <dataValidation type="list" allowBlank="1" showInputMessage="1" showErrorMessage="1" prompt="Select YES or NO" sqref="D11">
      <formula1>"YES,NO"</formula1>
    </dataValidation>
    <dataValidation type="list" allowBlank="1" showInputMessage="1" showErrorMessage="1" prompt="Select YES or NO" sqref="E11">
      <formula1>"YES,NO"</formula1>
    </dataValidation>
    <dataValidation type="list" allowBlank="1" showInputMessage="1" showErrorMessage="1" prompt="Select YES or NO" sqref="H11">
      <formula1>"YES,NO"</formula1>
    </dataValidation>
    <dataValidation type="list" allowBlank="1" showInputMessage="1" showErrorMessage="1" prompt="Select YES or NO" sqref="D12">
      <formula1>"YES,NO"</formula1>
    </dataValidation>
    <dataValidation type="list" allowBlank="1" showInputMessage="1" showErrorMessage="1" prompt="Select YES or NO" sqref="E12">
      <formula1>"YES,NO"</formula1>
    </dataValidation>
    <dataValidation type="list" allowBlank="1" showInputMessage="1" showErrorMessage="1" prompt="Select YES or NO" sqref="H12">
      <formula1>"YES,NO"</formula1>
    </dataValidation>
    <dataValidation type="list" allowBlank="1" showInputMessage="1" showErrorMessage="1" prompt="Select YES or NO" sqref="D13">
      <formula1>"YES,NO"</formula1>
    </dataValidation>
    <dataValidation type="list" allowBlank="1" showInputMessage="1" showErrorMessage="1" prompt="Select YES or NO" sqref="E13">
      <formula1>"YES,NO"</formula1>
    </dataValidation>
    <dataValidation type="list" allowBlank="1" showInputMessage="1" showErrorMessage="1" prompt="Select YES or NO" sqref="H13">
      <formula1>"YES,NO"</formula1>
    </dataValidation>
    <dataValidation type="list" allowBlank="1" showInputMessage="1" showErrorMessage="1" prompt="Select YES or NO" sqref="D14">
      <formula1>"YES,NO"</formula1>
    </dataValidation>
    <dataValidation type="list" allowBlank="1" showInputMessage="1" showErrorMessage="1" prompt="Select YES or NO" sqref="E14">
      <formula1>"YES,NO"</formula1>
    </dataValidation>
    <dataValidation type="list" allowBlank="1" showInputMessage="1" showErrorMessage="1" prompt="Select YES or NO" sqref="H14">
      <formula1>"YES,NO"</formula1>
    </dataValidation>
    <dataValidation type="list" allowBlank="1" showInputMessage="1" showErrorMessage="1" prompt="Select YES or NO" sqref="D15">
      <formula1>"YES,NO"</formula1>
    </dataValidation>
    <dataValidation type="list" allowBlank="1" showInputMessage="1" showErrorMessage="1" prompt="Select YES or NO" sqref="E15">
      <formula1>"YES,NO"</formula1>
    </dataValidation>
    <dataValidation type="list" allowBlank="1" showInputMessage="1" showErrorMessage="1" prompt="Select YES or NO" sqref="H15">
      <formula1>"YES,NO"</formula1>
    </dataValidation>
    <dataValidation type="list" allowBlank="1" showInputMessage="1" showErrorMessage="1" prompt="Select YES or NO" sqref="D16">
      <formula1>"YES,NO"</formula1>
    </dataValidation>
    <dataValidation type="list" allowBlank="1" showInputMessage="1" showErrorMessage="1" prompt="Select YES or NO" sqref="E16">
      <formula1>"YES,NO"</formula1>
    </dataValidation>
    <dataValidation type="list" allowBlank="1" showInputMessage="1" showErrorMessage="1" prompt="Select YES or NO" sqref="H16">
      <formula1>"YES,NO"</formula1>
    </dataValidation>
    <dataValidation type="list" allowBlank="1" showInputMessage="1" showErrorMessage="1" prompt="Select YES or NO" sqref="D17">
      <formula1>"YES,NO"</formula1>
    </dataValidation>
    <dataValidation type="list" allowBlank="1" showInputMessage="1" showErrorMessage="1" prompt="Select YES or NO" sqref="E17">
      <formula1>"YES,NO"</formula1>
    </dataValidation>
    <dataValidation type="list" allowBlank="1" showInputMessage="1" showErrorMessage="1" prompt="Select YES or NO" sqref="H17">
      <formula1>"YES,NO"</formula1>
    </dataValidation>
    <dataValidation type="list" allowBlank="1" showInputMessage="1" showErrorMessage="1" prompt="Select YES or NO" sqref="D18">
      <formula1>"YES,NO"</formula1>
    </dataValidation>
    <dataValidation type="list" allowBlank="1" showInputMessage="1" showErrorMessage="1" prompt="Select YES or NO" sqref="E18">
      <formula1>"YES,NO"</formula1>
    </dataValidation>
    <dataValidation type="list" allowBlank="1" showInputMessage="1" showErrorMessage="1" prompt="Select YES or NO" sqref="H18">
      <formula1>"YES,NO"</formula1>
    </dataValidation>
    <dataValidation type="list" allowBlank="1" showInputMessage="1" showErrorMessage="1" prompt="Select YES or NO" sqref="D19">
      <formula1>"YES,NO"</formula1>
    </dataValidation>
    <dataValidation type="list" allowBlank="1" showInputMessage="1" showErrorMessage="1" prompt="Select YES or NO" sqref="E19">
      <formula1>"YES,NO"</formula1>
    </dataValidation>
    <dataValidation type="list" allowBlank="1" showInputMessage="1" showErrorMessage="1" prompt="Select YES or NO" sqref="H19">
      <formula1>"YES,NO"</formula1>
    </dataValidation>
    <dataValidation type="list" allowBlank="1" showInputMessage="1" showErrorMessage="1" prompt="Select YES or NO" sqref="D20">
      <formula1>"YES,NO"</formula1>
    </dataValidation>
    <dataValidation type="list" allowBlank="1" showInputMessage="1" showErrorMessage="1" prompt="Select YES or NO" sqref="E20">
      <formula1>"YES,NO"</formula1>
    </dataValidation>
    <dataValidation type="list" allowBlank="1" showInputMessage="1" showErrorMessage="1" prompt="Select YES or NO" sqref="H20">
      <formula1>"YES,NO"</formula1>
    </dataValidation>
    <dataValidation type="list" allowBlank="1" showInputMessage="1" showErrorMessage="1" prompt="Select YES or NO" sqref="D21">
      <formula1>"YES,NO"</formula1>
    </dataValidation>
    <dataValidation type="list" allowBlank="1" showInputMessage="1" showErrorMessage="1" prompt="Select YES or NO" sqref="E21">
      <formula1>"YES,NO"</formula1>
    </dataValidation>
    <dataValidation type="list" allowBlank="1" showInputMessage="1" showErrorMessage="1" prompt="Select YES or NO" sqref="H21">
      <formula1>"YES,NO"</formula1>
    </dataValidation>
    <dataValidation type="list" allowBlank="1" showInputMessage="1" showErrorMessage="1" prompt="Select YES or NO" sqref="D22">
      <formula1>"YES,NO"</formula1>
    </dataValidation>
    <dataValidation type="list" allowBlank="1" showInputMessage="1" showErrorMessage="1" prompt="Select YES or NO" sqref="E22">
      <formula1>"YES,NO"</formula1>
    </dataValidation>
    <dataValidation type="list" allowBlank="1" showInputMessage="1" showErrorMessage="1" prompt="Select YES or NO" sqref="H22">
      <formula1>"YES,NO"</formula1>
    </dataValidation>
    <dataValidation type="list" allowBlank="1" showInputMessage="1" showErrorMessage="1" prompt="Select YES or NO" sqref="D23">
      <formula1>"YES,NO"</formula1>
    </dataValidation>
    <dataValidation type="list" allowBlank="1" showInputMessage="1" showErrorMessage="1" prompt="Select YES or NO" sqref="E23">
      <formula1>"YES,NO"</formula1>
    </dataValidation>
    <dataValidation type="list" allowBlank="1" showInputMessage="1" showErrorMessage="1" prompt="Select YES or NO" sqref="H23">
      <formula1>"YES,NO"</formula1>
    </dataValidation>
    <dataValidation type="list" allowBlank="1" showInputMessage="1" showErrorMessage="1" prompt="Select YES or NO" sqref="D24">
      <formula1>"YES,NO"</formula1>
    </dataValidation>
    <dataValidation type="list" allowBlank="1" showInputMessage="1" showErrorMessage="1" prompt="Select YES or NO" sqref="E24">
      <formula1>"YES,NO"</formula1>
    </dataValidation>
    <dataValidation type="list" allowBlank="1" showInputMessage="1" showErrorMessage="1" prompt="Select YES or NO" sqref="H24">
      <formula1>"YES,NO"</formula1>
    </dataValidation>
    <dataValidation type="list" allowBlank="1" showInputMessage="1" showErrorMessage="1" prompt="Select YES or NO" sqref="D25">
      <formula1>"YES,NO"</formula1>
    </dataValidation>
    <dataValidation type="list" allowBlank="1" showInputMessage="1" showErrorMessage="1" prompt="Select YES or NO" sqref="E25">
      <formula1>"YES,NO"</formula1>
    </dataValidation>
    <dataValidation type="list" allowBlank="1" showInputMessage="1" showErrorMessage="1" prompt="Select YES or NO" sqref="H25">
      <formula1>"YES,NO"</formula1>
    </dataValidation>
    <dataValidation type="list" allowBlank="1" showInputMessage="1" showErrorMessage="1" prompt="Select YES or NO" sqref="D26">
      <formula1>"YES,NO"</formula1>
    </dataValidation>
    <dataValidation type="list" allowBlank="1" showInputMessage="1" showErrorMessage="1" prompt="Select YES or NO" sqref="E26">
      <formula1>"YES,NO"</formula1>
    </dataValidation>
    <dataValidation type="list" allowBlank="1" showInputMessage="1" showErrorMessage="1" prompt="Select YES or NO" sqref="H26">
      <formula1>"YES,NO"</formula1>
    </dataValidation>
    <dataValidation type="list" allowBlank="1" showInputMessage="1" showErrorMessage="1" prompt="Select YES or NO" sqref="D27">
      <formula1>"YES,NO"</formula1>
    </dataValidation>
    <dataValidation type="list" allowBlank="1" showInputMessage="1" showErrorMessage="1" prompt="Select YES or NO" sqref="E27">
      <formula1>"YES,NO"</formula1>
    </dataValidation>
    <dataValidation type="list" allowBlank="1" showInputMessage="1" showErrorMessage="1" prompt="Select YES or NO" sqref="H27">
      <formula1>"YES,NO"</formula1>
    </dataValidation>
    <dataValidation type="list" allowBlank="1" showInputMessage="1" showErrorMessage="1" prompt="Select YES or NO" sqref="D28">
      <formula1>"YES,NO"</formula1>
    </dataValidation>
    <dataValidation type="list" allowBlank="1" showInputMessage="1" showErrorMessage="1" prompt="Select YES or NO" sqref="E28">
      <formula1>"YES,NO"</formula1>
    </dataValidation>
    <dataValidation type="list" allowBlank="1" showInputMessage="1" showErrorMessage="1" prompt="Select YES or NO" sqref="H28">
      <formula1>"YES,NO"</formula1>
    </dataValidation>
    <dataValidation type="list" allowBlank="1" showInputMessage="1" showErrorMessage="1" prompt="Select YES or NO" sqref="D29">
      <formula1>"YES,NO"</formula1>
    </dataValidation>
    <dataValidation type="list" allowBlank="1" showInputMessage="1" showErrorMessage="1" prompt="Select YES or NO" sqref="E29">
      <formula1>"YES,NO"</formula1>
    </dataValidation>
    <dataValidation type="list" allowBlank="1" showInputMessage="1" showErrorMessage="1" prompt="Select YES or NO" sqref="H29">
      <formula1>"YES,NO"</formula1>
    </dataValidation>
    <dataValidation type="list" allowBlank="1" showInputMessage="1" showErrorMessage="1" prompt="Select YES or NO" sqref="D30">
      <formula1>"YES,NO"</formula1>
    </dataValidation>
    <dataValidation type="list" allowBlank="1" showInputMessage="1" showErrorMessage="1" prompt="Select YES or NO" sqref="E30">
      <formula1>"YES,NO"</formula1>
    </dataValidation>
    <dataValidation type="list" allowBlank="1" showInputMessage="1" showErrorMessage="1" prompt="Select YES or NO" sqref="H30">
      <formula1>"YES,NO"</formula1>
    </dataValidation>
    <dataValidation type="list" allowBlank="1" showInputMessage="1" showErrorMessage="1" prompt="Select YES or NO" sqref="D31">
      <formula1>"YES,NO"</formula1>
    </dataValidation>
    <dataValidation type="list" allowBlank="1" showInputMessage="1" showErrorMessage="1" prompt="Select YES or NO" sqref="E31">
      <formula1>"YES,NO"</formula1>
    </dataValidation>
    <dataValidation type="list" allowBlank="1" showInputMessage="1" showErrorMessage="1" prompt="Select YES or NO" sqref="H31">
      <formula1>"YES,NO"</formula1>
    </dataValidation>
    <dataValidation type="list" allowBlank="1" showInputMessage="1" showErrorMessage="1" prompt="Select YES or NO" sqref="D32">
      <formula1>"YES,NO"</formula1>
    </dataValidation>
    <dataValidation type="list" allowBlank="1" showInputMessage="1" showErrorMessage="1" prompt="Select YES or NO" sqref="E32">
      <formula1>"YES,NO"</formula1>
    </dataValidation>
    <dataValidation type="list" allowBlank="1" showInputMessage="1" showErrorMessage="1" prompt="Select YES or NO" sqref="H32">
      <formula1>"YES,NO"</formula1>
    </dataValidation>
    <dataValidation type="list" allowBlank="1" showInputMessage="1" showErrorMessage="1" prompt="Select YES or NO" sqref="D33">
      <formula1>"YES,NO"</formula1>
    </dataValidation>
    <dataValidation type="list" allowBlank="1" showInputMessage="1" showErrorMessage="1" prompt="Select YES or NO" sqref="E33">
      <formula1>"YES,NO"</formula1>
    </dataValidation>
    <dataValidation type="list" allowBlank="1" showInputMessage="1" showErrorMessage="1" prompt="Select YES or NO" sqref="H33">
      <formula1>"YES,NO"</formula1>
    </dataValidation>
    <dataValidation type="list" allowBlank="1" showInputMessage="1" showErrorMessage="1" prompt="Select YES or NO" sqref="D34">
      <formula1>"YES,NO"</formula1>
    </dataValidation>
    <dataValidation type="list" allowBlank="1" showInputMessage="1" showErrorMessage="1" prompt="Select YES or NO" sqref="E34">
      <formula1>"YES,NO"</formula1>
    </dataValidation>
    <dataValidation type="list" allowBlank="1" showInputMessage="1" showErrorMessage="1" prompt="Select YES or NO" sqref="H34">
      <formula1>"YES,NO"</formula1>
    </dataValidation>
    <dataValidation type="list" allowBlank="1" showInputMessage="1" showErrorMessage="1" prompt="Select YES or NO" sqref="D35">
      <formula1>"YES,NO"</formula1>
    </dataValidation>
    <dataValidation type="list" allowBlank="1" showInputMessage="1" showErrorMessage="1" prompt="Select YES or NO" sqref="E35">
      <formula1>"YES,NO"</formula1>
    </dataValidation>
    <dataValidation type="list" allowBlank="1" showInputMessage="1" showErrorMessage="1" prompt="Select YES or NO" sqref="H35">
      <formula1>"YES,NO"</formula1>
    </dataValidation>
    <dataValidation type="list" allowBlank="1" showInputMessage="1" showErrorMessage="1" prompt="Select YES or NO" sqref="D36">
      <formula1>"YES,NO"</formula1>
    </dataValidation>
    <dataValidation type="list" allowBlank="1" showInputMessage="1" showErrorMessage="1" prompt="Select YES or NO" sqref="E36">
      <formula1>"YES,NO"</formula1>
    </dataValidation>
    <dataValidation type="list" allowBlank="1" showInputMessage="1" showErrorMessage="1" prompt="Select YES or NO" sqref="H36">
      <formula1>"YES,NO"</formula1>
    </dataValidation>
    <dataValidation type="list" allowBlank="1" showInputMessage="1" showErrorMessage="1" prompt="Select YES or NO" sqref="D37">
      <formula1>"YES,NO"</formula1>
    </dataValidation>
    <dataValidation type="list" allowBlank="1" showInputMessage="1" showErrorMessage="1" prompt="Select YES or NO" sqref="E37">
      <formula1>"YES,NO"</formula1>
    </dataValidation>
    <dataValidation type="list" allowBlank="1" showInputMessage="1" showErrorMessage="1" prompt="Select YES or NO" sqref="H37">
      <formula1>"YES,NO"</formula1>
    </dataValidation>
    <dataValidation type="list" allowBlank="1" showInputMessage="1" showErrorMessage="1" prompt="Select YES or NO" sqref="D38">
      <formula1>"YES,NO"</formula1>
    </dataValidation>
    <dataValidation type="list" allowBlank="1" showInputMessage="1" showErrorMessage="1" prompt="Select YES or NO" sqref="E38">
      <formula1>"YES,NO"</formula1>
    </dataValidation>
    <dataValidation type="list" allowBlank="1" showInputMessage="1" showErrorMessage="1" prompt="Select YES or NO" sqref="H38">
      <formula1>"YES,NO"</formula1>
    </dataValidation>
    <dataValidation type="list" allowBlank="1" showInputMessage="1" showErrorMessage="1" prompt="Select YES or NO" sqref="D39">
      <formula1>"YES,NO"</formula1>
    </dataValidation>
    <dataValidation type="list" allowBlank="1" showInputMessage="1" showErrorMessage="1" prompt="Select YES or NO" sqref="E39">
      <formula1>"YES,NO"</formula1>
    </dataValidation>
    <dataValidation type="list" allowBlank="1" showInputMessage="1" showErrorMessage="1" prompt="Select YES or NO" sqref="H39">
      <formula1>"YES,NO"</formula1>
    </dataValidation>
    <dataValidation type="list" allowBlank="1" showInputMessage="1" showErrorMessage="1" prompt="Select YES or NO" sqref="D40">
      <formula1>"YES,NO"</formula1>
    </dataValidation>
    <dataValidation type="list" allowBlank="1" showInputMessage="1" showErrorMessage="1" prompt="Select YES or NO" sqref="E40">
      <formula1>"YES,NO"</formula1>
    </dataValidation>
    <dataValidation type="list" allowBlank="1" showInputMessage="1" showErrorMessage="1" prompt="Select YES or NO" sqref="H40">
      <formula1>"YES,NO"</formula1>
    </dataValidation>
    <dataValidation type="list" allowBlank="1" showInputMessage="1" showErrorMessage="1" prompt="Select YES or NO" sqref="D41">
      <formula1>"YES,NO"</formula1>
    </dataValidation>
    <dataValidation type="list" allowBlank="1" showInputMessage="1" showErrorMessage="1" prompt="Select YES or NO" sqref="E41">
      <formula1>"YES,NO"</formula1>
    </dataValidation>
    <dataValidation type="list" allowBlank="1" showInputMessage="1" showErrorMessage="1" prompt="Select YES or NO" sqref="H41">
      <formula1>"YES,NO"</formula1>
    </dataValidation>
    <dataValidation type="list" allowBlank="1" showInputMessage="1" showErrorMessage="1" prompt="Select YES or NO" sqref="D42">
      <formula1>"YES,NO"</formula1>
    </dataValidation>
    <dataValidation type="list" allowBlank="1" showInputMessage="1" showErrorMessage="1" prompt="Select YES or NO" sqref="E42">
      <formula1>"YES,NO"</formula1>
    </dataValidation>
    <dataValidation type="list" allowBlank="1" showInputMessage="1" showErrorMessage="1" prompt="Select YES or NO" sqref="H42">
      <formula1>"YES,NO"</formula1>
    </dataValidation>
    <dataValidation type="list" allowBlank="1" showInputMessage="1" showErrorMessage="1" prompt="Select YES or NO" sqref="D43">
      <formula1>"YES,NO"</formula1>
    </dataValidation>
    <dataValidation type="list" allowBlank="1" showInputMessage="1" showErrorMessage="1" prompt="Select YES or NO" sqref="E43">
      <formula1>"YES,NO"</formula1>
    </dataValidation>
    <dataValidation type="list" allowBlank="1" showInputMessage="1" showErrorMessage="1" prompt="Select YES or NO" sqref="H43">
      <formula1>"YES,NO"</formula1>
    </dataValidation>
    <dataValidation type="list" allowBlank="1" showInputMessage="1" showErrorMessage="1" prompt="Select YES or NO" sqref="D44">
      <formula1>"YES,NO"</formula1>
    </dataValidation>
    <dataValidation type="list" allowBlank="1" showInputMessage="1" showErrorMessage="1" prompt="Select YES or NO" sqref="E44">
      <formula1>"YES,NO"</formula1>
    </dataValidation>
    <dataValidation type="list" allowBlank="1" showInputMessage="1" showErrorMessage="1" prompt="Select YES or NO" sqref="H44">
      <formula1>"YES,NO"</formula1>
    </dataValidation>
    <dataValidation type="list" allowBlank="1" showInputMessage="1" showErrorMessage="1" prompt="Select YES or NO" sqref="D45">
      <formula1>"YES,NO"</formula1>
    </dataValidation>
    <dataValidation type="list" allowBlank="1" showInputMessage="1" showErrorMessage="1" prompt="Select YES or NO" sqref="E45">
      <formula1>"YES,NO"</formula1>
    </dataValidation>
    <dataValidation type="list" allowBlank="1" showInputMessage="1" showErrorMessage="1" prompt="Select YES or NO" sqref="H45">
      <formula1>"YES,NO"</formula1>
    </dataValidation>
    <dataValidation type="list" allowBlank="1" showInputMessage="1" showErrorMessage="1" prompt="Select YES or NO" sqref="D46">
      <formula1>"YES,NO"</formula1>
    </dataValidation>
    <dataValidation type="list" allowBlank="1" showInputMessage="1" showErrorMessage="1" prompt="Select YES or NO" sqref="E46">
      <formula1>"YES,NO"</formula1>
    </dataValidation>
    <dataValidation type="list" allowBlank="1" showInputMessage="1" showErrorMessage="1" prompt="Select YES or NO" sqref="H46">
      <formula1>"YES,NO"</formula1>
    </dataValidation>
    <dataValidation type="list" allowBlank="1" showInputMessage="1" showErrorMessage="1" prompt="Select YES or NO" sqref="D47">
      <formula1>"YES,NO"</formula1>
    </dataValidation>
    <dataValidation type="list" allowBlank="1" showInputMessage="1" showErrorMessage="1" prompt="Select YES or NO" sqref="E47">
      <formula1>"YES,NO"</formula1>
    </dataValidation>
    <dataValidation type="list" allowBlank="1" showInputMessage="1" showErrorMessage="1" prompt="Select YES or NO" sqref="H47">
      <formula1>"YES,NO"</formula1>
    </dataValidation>
    <dataValidation type="list" allowBlank="1" showInputMessage="1" showErrorMessage="1" prompt="Select YES or NO" sqref="D48">
      <formula1>"YES,NO"</formula1>
    </dataValidation>
    <dataValidation type="list" allowBlank="1" showInputMessage="1" showErrorMessage="1" prompt="Select YES or NO" sqref="E48">
      <formula1>"YES,NO"</formula1>
    </dataValidation>
    <dataValidation type="list" allowBlank="1" showInputMessage="1" showErrorMessage="1" prompt="Select YES or NO" sqref="H48">
      <formula1>"YES,NO"</formula1>
    </dataValidation>
    <dataValidation type="list" allowBlank="1" showInputMessage="1" showErrorMessage="1" prompt="Select YES or NO" sqref="D49">
      <formula1>"YES,NO"</formula1>
    </dataValidation>
    <dataValidation type="list" allowBlank="1" showInputMessage="1" showErrorMessage="1" prompt="Select YES or NO" sqref="E49">
      <formula1>"YES,NO"</formula1>
    </dataValidation>
    <dataValidation type="list" allowBlank="1" showInputMessage="1" showErrorMessage="1" prompt="Select YES or NO" sqref="H49">
      <formula1>"YES,NO"</formula1>
    </dataValidation>
    <dataValidation type="list" allowBlank="1" showInputMessage="1" showErrorMessage="1" prompt="Select YES or NO" sqref="D50">
      <formula1>"YES,NO"</formula1>
    </dataValidation>
    <dataValidation type="list" allowBlank="1" showInputMessage="1" showErrorMessage="1" prompt="Select YES or NO" sqref="E50">
      <formula1>"YES,NO"</formula1>
    </dataValidation>
    <dataValidation type="list" allowBlank="1" showInputMessage="1" showErrorMessage="1" prompt="Select YES or NO" sqref="H50">
      <formula1>"YES,NO"</formula1>
    </dataValidation>
    <dataValidation type="list" allowBlank="1" showInputMessage="1" showErrorMessage="1" prompt="Select YES or NO" sqref="D51">
      <formula1>"YES,NO"</formula1>
    </dataValidation>
    <dataValidation type="list" allowBlank="1" showInputMessage="1" showErrorMessage="1" prompt="Select YES or NO" sqref="E51">
      <formula1>"YES,NO"</formula1>
    </dataValidation>
    <dataValidation type="list" allowBlank="1" showInputMessage="1" showErrorMessage="1" prompt="Select YES or NO" sqref="H51">
      <formula1>"YES,NO"</formula1>
    </dataValidation>
    <dataValidation type="list" allowBlank="1" showInputMessage="1" showErrorMessage="1" prompt="Select YES or NO" sqref="D52">
      <formula1>"YES,NO"</formula1>
    </dataValidation>
    <dataValidation type="list" allowBlank="1" showInputMessage="1" showErrorMessage="1" prompt="Select YES or NO" sqref="E52">
      <formula1>"YES,NO"</formula1>
    </dataValidation>
    <dataValidation type="list" allowBlank="1" showInputMessage="1" showErrorMessage="1" prompt="Select YES or NO" sqref="H52">
      <formula1>"YES,NO"</formula1>
    </dataValidation>
    <dataValidation type="list" allowBlank="1" showInputMessage="1" showErrorMessage="1" prompt="Select YES or NO" sqref="D53">
      <formula1>"YES,NO"</formula1>
    </dataValidation>
    <dataValidation type="list" allowBlank="1" showInputMessage="1" showErrorMessage="1" prompt="Select YES or NO" sqref="E53">
      <formula1>"YES,NO"</formula1>
    </dataValidation>
    <dataValidation type="list" allowBlank="1" showInputMessage="1" showErrorMessage="1" prompt="Select YES or NO" sqref="H53">
      <formula1>"YES,NO"</formula1>
    </dataValidation>
    <dataValidation type="list" allowBlank="1" showInputMessage="1" showErrorMessage="1" prompt="Select YES or NO" sqref="D54">
      <formula1>"YES,NO"</formula1>
    </dataValidation>
    <dataValidation type="list" allowBlank="1" showInputMessage="1" showErrorMessage="1" prompt="Select YES or NO" sqref="E54">
      <formula1>"YES,NO"</formula1>
    </dataValidation>
    <dataValidation type="list" allowBlank="1" showInputMessage="1" showErrorMessage="1" prompt="Select YES or NO" sqref="H54">
      <formula1>"YES,NO"</formula1>
    </dataValidation>
    <dataValidation type="list" allowBlank="1" showInputMessage="1" showErrorMessage="1" prompt="Select YES or NO" sqref="D55">
      <formula1>"YES,NO"</formula1>
    </dataValidation>
    <dataValidation type="list" allowBlank="1" showInputMessage="1" showErrorMessage="1" prompt="Select YES or NO" sqref="E55">
      <formula1>"YES,NO"</formula1>
    </dataValidation>
    <dataValidation type="list" allowBlank="1" showInputMessage="1" showErrorMessage="1" prompt="Select YES or NO" sqref="H55">
      <formula1>"YES,NO"</formula1>
    </dataValidation>
    <dataValidation type="list" allowBlank="1" showInputMessage="1" showErrorMessage="1" prompt="Select YES or NO" sqref="D56">
      <formula1>"YES,NO"</formula1>
    </dataValidation>
    <dataValidation type="list" allowBlank="1" showInputMessage="1" showErrorMessage="1" prompt="Select YES or NO" sqref="E56">
      <formula1>"YES,NO"</formula1>
    </dataValidation>
    <dataValidation type="list" allowBlank="1" showInputMessage="1" showErrorMessage="1" prompt="Select YES or NO" sqref="H56">
      <formula1>"YES,NO"</formula1>
    </dataValidation>
    <dataValidation type="list" allowBlank="1" showInputMessage="1" showErrorMessage="1" prompt="Select YES or NO" sqref="D57">
      <formula1>"YES,NO"</formula1>
    </dataValidation>
    <dataValidation type="list" allowBlank="1" showInputMessage="1" showErrorMessage="1" prompt="Select YES or NO" sqref="E57">
      <formula1>"YES,NO"</formula1>
    </dataValidation>
    <dataValidation type="list" allowBlank="1" showInputMessage="1" showErrorMessage="1" prompt="Select YES or NO" sqref="H57">
      <formula1>"YES,NO"</formula1>
    </dataValidation>
    <dataValidation type="list" allowBlank="1" showInputMessage="1" showErrorMessage="1" prompt="Select YES or NO" sqref="D58">
      <formula1>"YES,NO"</formula1>
    </dataValidation>
    <dataValidation type="list" allowBlank="1" showInputMessage="1" showErrorMessage="1" prompt="Select YES or NO" sqref="E58">
      <formula1>"YES,NO"</formula1>
    </dataValidation>
    <dataValidation type="list" allowBlank="1" showInputMessage="1" showErrorMessage="1" prompt="Select YES or NO" sqref="H58">
      <formula1>"YES,NO"</formula1>
    </dataValidation>
    <dataValidation type="list" allowBlank="1" showInputMessage="1" showErrorMessage="1" prompt="Select YES or NO" sqref="D59">
      <formula1>"YES,NO"</formula1>
    </dataValidation>
    <dataValidation type="list" allowBlank="1" showInputMessage="1" showErrorMessage="1" prompt="Select YES or NO" sqref="E59">
      <formula1>"YES,NO"</formula1>
    </dataValidation>
    <dataValidation type="list" allowBlank="1" showInputMessage="1" showErrorMessage="1" prompt="Select YES or NO" sqref="H59">
      <formula1>"YES,NO"</formula1>
    </dataValidation>
    <dataValidation type="list" allowBlank="1" showInputMessage="1" showErrorMessage="1" prompt="Select YES or NO" sqref="D60">
      <formula1>"YES,NO"</formula1>
    </dataValidation>
    <dataValidation type="list" allowBlank="1" showInputMessage="1" showErrorMessage="1" prompt="Select YES or NO" sqref="E60">
      <formula1>"YES,NO"</formula1>
    </dataValidation>
    <dataValidation type="list" allowBlank="1" showInputMessage="1" showErrorMessage="1" prompt="Select YES or NO" sqref="H60">
      <formula1>"YES,NO"</formula1>
    </dataValidation>
    <dataValidation type="list" allowBlank="1" showInputMessage="1" showErrorMessage="1" prompt="Select YES or NO" sqref="D61">
      <formula1>"YES,NO"</formula1>
    </dataValidation>
    <dataValidation type="list" allowBlank="1" showInputMessage="1" showErrorMessage="1" prompt="Select YES or NO" sqref="E61">
      <formula1>"YES,NO"</formula1>
    </dataValidation>
    <dataValidation type="list" allowBlank="1" showInputMessage="1" showErrorMessage="1" prompt="Select YES or NO" sqref="H61">
      <formula1>"YES,NO"</formula1>
    </dataValidation>
    <dataValidation type="list" allowBlank="1" showInputMessage="1" showErrorMessage="1" prompt="Select YES or NO" sqref="D62">
      <formula1>"YES,NO"</formula1>
    </dataValidation>
    <dataValidation type="list" allowBlank="1" showInputMessage="1" showErrorMessage="1" prompt="Select YES or NO" sqref="E62">
      <formula1>"YES,NO"</formula1>
    </dataValidation>
    <dataValidation type="list" allowBlank="1" showInputMessage="1" showErrorMessage="1" prompt="Select YES or NO" sqref="H62">
      <formula1>"YES,NO"</formula1>
    </dataValidation>
    <dataValidation type="list" allowBlank="1" showInputMessage="1" showErrorMessage="1" prompt="Select YES or NO" sqref="D63">
      <formula1>"YES,NO"</formula1>
    </dataValidation>
    <dataValidation type="list" allowBlank="1" showInputMessage="1" showErrorMessage="1" prompt="Select YES or NO" sqref="E63">
      <formula1>"YES,NO"</formula1>
    </dataValidation>
    <dataValidation type="list" allowBlank="1" showInputMessage="1" showErrorMessage="1" prompt="Select YES or NO" sqref="H63">
      <formula1>"YES,NO"</formula1>
    </dataValidation>
    <dataValidation type="list" allowBlank="1" showInputMessage="1" showErrorMessage="1" prompt="Select YES or NO" sqref="D64">
      <formula1>"YES,NO"</formula1>
    </dataValidation>
    <dataValidation type="list" allowBlank="1" showInputMessage="1" showErrorMessage="1" prompt="Select YES or NO" sqref="E64">
      <formula1>"YES,NO"</formula1>
    </dataValidation>
    <dataValidation type="list" allowBlank="1" showInputMessage="1" showErrorMessage="1" prompt="Select YES or NO" sqref="H64">
      <formula1>"YES,NO"</formula1>
    </dataValidation>
    <dataValidation type="list" allowBlank="1" showInputMessage="1" showErrorMessage="1" prompt="Select YES or NO" sqref="D65">
      <formula1>"YES,NO"</formula1>
    </dataValidation>
    <dataValidation type="list" allowBlank="1" showInputMessage="1" showErrorMessage="1" prompt="Select YES or NO" sqref="E65">
      <formula1>"YES,NO"</formula1>
    </dataValidation>
    <dataValidation type="list" allowBlank="1" showInputMessage="1" showErrorMessage="1" prompt="Select YES or NO" sqref="H65">
      <formula1>"YES,NO"</formula1>
    </dataValidation>
    <dataValidation type="list" allowBlank="1" showInputMessage="1" showErrorMessage="1" prompt="Select YES or NO" sqref="D66">
      <formula1>"YES,NO"</formula1>
    </dataValidation>
    <dataValidation type="list" allowBlank="1" showInputMessage="1" showErrorMessage="1" prompt="Select YES or NO" sqref="E66">
      <formula1>"YES,NO"</formula1>
    </dataValidation>
    <dataValidation type="list" allowBlank="1" showInputMessage="1" showErrorMessage="1" prompt="Select YES or NO" sqref="H66">
      <formula1>"YES,NO"</formula1>
    </dataValidation>
    <dataValidation type="list" allowBlank="1" showInputMessage="1" showErrorMessage="1" prompt="Select YES or NO" sqref="D67">
      <formula1>"YES,NO"</formula1>
    </dataValidation>
    <dataValidation type="list" allowBlank="1" showInputMessage="1" showErrorMessage="1" prompt="Select YES or NO" sqref="E67">
      <formula1>"YES,NO"</formula1>
    </dataValidation>
    <dataValidation type="list" allowBlank="1" showInputMessage="1" showErrorMessage="1" prompt="Select YES or NO" sqref="H67">
      <formula1>"YES,NO"</formula1>
    </dataValidation>
    <dataValidation type="list" allowBlank="1" showInputMessage="1" showErrorMessage="1" prompt="Select YES or NO" sqref="D68">
      <formula1>"YES,NO"</formula1>
    </dataValidation>
    <dataValidation type="list" allowBlank="1" showInputMessage="1" showErrorMessage="1" prompt="Select YES or NO" sqref="E68">
      <formula1>"YES,NO"</formula1>
    </dataValidation>
    <dataValidation type="list" allowBlank="1" showInputMessage="1" showErrorMessage="1" prompt="Select YES or NO" sqref="H68">
      <formula1>"YES,NO"</formula1>
    </dataValidation>
    <dataValidation type="list" allowBlank="1" showInputMessage="1" showErrorMessage="1" prompt="Select YES or NO" sqref="D69">
      <formula1>"YES,NO"</formula1>
    </dataValidation>
    <dataValidation type="list" allowBlank="1" showInputMessage="1" showErrorMessage="1" prompt="Select YES or NO" sqref="E69">
      <formula1>"YES,NO"</formula1>
    </dataValidation>
    <dataValidation type="list" allowBlank="1" showInputMessage="1" showErrorMessage="1" prompt="Select YES or NO" sqref="H69">
      <formula1>"YES,NO"</formula1>
    </dataValidation>
    <dataValidation type="list" allowBlank="1" showInputMessage="1" showErrorMessage="1" prompt="Select YES or NO" sqref="D70">
      <formula1>"YES,NO"</formula1>
    </dataValidation>
    <dataValidation type="list" allowBlank="1" showInputMessage="1" showErrorMessage="1" prompt="Select YES or NO" sqref="E70">
      <formula1>"YES,NO"</formula1>
    </dataValidation>
    <dataValidation type="list" allowBlank="1" showInputMessage="1" showErrorMessage="1" prompt="Select YES or NO" sqref="H70">
      <formula1>"YES,NO"</formula1>
    </dataValidation>
    <dataValidation type="list" allowBlank="1" showInputMessage="1" showErrorMessage="1" prompt="Select YES or NO" sqref="D71">
      <formula1>"YES,NO"</formula1>
    </dataValidation>
    <dataValidation type="list" allowBlank="1" showInputMessage="1" showErrorMessage="1" prompt="Select YES or NO" sqref="E71">
      <formula1>"YES,NO"</formula1>
    </dataValidation>
    <dataValidation type="list" allowBlank="1" showInputMessage="1" showErrorMessage="1" prompt="Select YES or NO" sqref="H71">
      <formula1>"YES,NO"</formula1>
    </dataValidation>
    <dataValidation type="list" allowBlank="1" showInputMessage="1" showErrorMessage="1" prompt="Select YES or NO" sqref="D72">
      <formula1>"YES,NO"</formula1>
    </dataValidation>
    <dataValidation type="list" allowBlank="1" showInputMessage="1" showErrorMessage="1" prompt="Select YES or NO" sqref="E72">
      <formula1>"YES,NO"</formula1>
    </dataValidation>
    <dataValidation type="list" allowBlank="1" showInputMessage="1" showErrorMessage="1" prompt="Select YES or NO" sqref="H72">
      <formula1>"YES,NO"</formula1>
    </dataValidation>
    <dataValidation type="list" allowBlank="1" showInputMessage="1" showErrorMessage="1" prompt="Select YES or NO" sqref="D73">
      <formula1>"YES,NO"</formula1>
    </dataValidation>
    <dataValidation type="list" allowBlank="1" showInputMessage="1" showErrorMessage="1" prompt="Select YES or NO" sqref="E73">
      <formula1>"YES,NO"</formula1>
    </dataValidation>
    <dataValidation type="list" allowBlank="1" showInputMessage="1" showErrorMessage="1" prompt="Select YES or NO" sqref="H73">
      <formula1>"YES,NO"</formula1>
    </dataValidation>
    <dataValidation type="list" allowBlank="1" showInputMessage="1" showErrorMessage="1" prompt="Select YES or NO" sqref="D74">
      <formula1>"YES,NO"</formula1>
    </dataValidation>
    <dataValidation type="list" allowBlank="1" showInputMessage="1" showErrorMessage="1" prompt="Select YES or NO" sqref="E74">
      <formula1>"YES,NO"</formula1>
    </dataValidation>
    <dataValidation type="list" allowBlank="1" showInputMessage="1" showErrorMessage="1" prompt="Select YES or NO" sqref="H74">
      <formula1>"YES,NO"</formula1>
    </dataValidation>
    <dataValidation type="list" allowBlank="1" showInputMessage="1" showErrorMessage="1" prompt="Select YES or NO" sqref="D75">
      <formula1>"YES,NO"</formula1>
    </dataValidation>
    <dataValidation type="list" allowBlank="1" showInputMessage="1" showErrorMessage="1" prompt="Select YES or NO" sqref="E75">
      <formula1>"YES,NO"</formula1>
    </dataValidation>
    <dataValidation type="list" allowBlank="1" showInputMessage="1" showErrorMessage="1" prompt="Select YES or NO" sqref="H75">
      <formula1>"YES,NO"</formula1>
    </dataValidation>
    <dataValidation type="list" allowBlank="1" showInputMessage="1" showErrorMessage="1" prompt="Select YES or NO" sqref="D76">
      <formula1>"YES,NO"</formula1>
    </dataValidation>
    <dataValidation type="list" allowBlank="1" showInputMessage="1" showErrorMessage="1" prompt="Select YES or NO" sqref="E76">
      <formula1>"YES,NO"</formula1>
    </dataValidation>
    <dataValidation type="list" allowBlank="1" showInputMessage="1" showErrorMessage="1" prompt="Select YES or NO" sqref="H76">
      <formula1>"YES,NO"</formula1>
    </dataValidation>
    <dataValidation type="list" allowBlank="1" showInputMessage="1" showErrorMessage="1" prompt="Select YES or NO" sqref="D77">
      <formula1>"YES,NO"</formula1>
    </dataValidation>
    <dataValidation type="list" allowBlank="1" showInputMessage="1" showErrorMessage="1" prompt="Select YES or NO" sqref="E77">
      <formula1>"YES,NO"</formula1>
    </dataValidation>
    <dataValidation type="list" allowBlank="1" showInputMessage="1" showErrorMessage="1" prompt="Select YES or NO" sqref="H77">
      <formula1>"YES,NO"</formula1>
    </dataValidation>
    <dataValidation type="list" allowBlank="1" showInputMessage="1" showErrorMessage="1" prompt="Select YES or NO" sqref="D78">
      <formula1>"YES,NO"</formula1>
    </dataValidation>
    <dataValidation type="list" allowBlank="1" showInputMessage="1" showErrorMessage="1" prompt="Select YES or NO" sqref="E78">
      <formula1>"YES,NO"</formula1>
    </dataValidation>
    <dataValidation type="list" allowBlank="1" showInputMessage="1" showErrorMessage="1" prompt="Select YES or NO" sqref="H78">
      <formula1>"YES,NO"</formula1>
    </dataValidation>
    <dataValidation type="list" allowBlank="1" showInputMessage="1" showErrorMessage="1" prompt="Select YES or NO" sqref="D79">
      <formula1>"YES,NO"</formula1>
    </dataValidation>
    <dataValidation type="list" allowBlank="1" showInputMessage="1" showErrorMessage="1" prompt="Select YES or NO" sqref="E79">
      <formula1>"YES,NO"</formula1>
    </dataValidation>
    <dataValidation type="list" allowBlank="1" showInputMessage="1" showErrorMessage="1" prompt="Select YES or NO" sqref="H79">
      <formula1>"YES,NO"</formula1>
    </dataValidation>
    <dataValidation type="list" allowBlank="1" showInputMessage="1" showErrorMessage="1" prompt="Select YES or NO" sqref="D80">
      <formula1>"YES,NO"</formula1>
    </dataValidation>
    <dataValidation type="list" allowBlank="1" showInputMessage="1" showErrorMessage="1" prompt="Select YES or NO" sqref="E80">
      <formula1>"YES,NO"</formula1>
    </dataValidation>
    <dataValidation type="list" allowBlank="1" showInputMessage="1" showErrorMessage="1" prompt="Select YES or NO" sqref="H80">
      <formula1>"YES,NO"</formula1>
    </dataValidation>
    <dataValidation type="list" allowBlank="1" showInputMessage="1" showErrorMessage="1" prompt="Select YES or NO" sqref="D81">
      <formula1>"YES,NO"</formula1>
    </dataValidation>
    <dataValidation type="list" allowBlank="1" showInputMessage="1" showErrorMessage="1" prompt="Select YES or NO" sqref="E81">
      <formula1>"YES,NO"</formula1>
    </dataValidation>
    <dataValidation type="list" allowBlank="1" showInputMessage="1" showErrorMessage="1" prompt="Select YES or NO" sqref="H81">
      <formula1>"YES,NO"</formula1>
    </dataValidation>
    <dataValidation type="list" allowBlank="1" showInputMessage="1" showErrorMessage="1" prompt="Select YES or NO" sqref="D82">
      <formula1>"YES,NO"</formula1>
    </dataValidation>
    <dataValidation type="list" allowBlank="1" showInputMessage="1" showErrorMessage="1" prompt="Select YES or NO" sqref="E82">
      <formula1>"YES,NO"</formula1>
    </dataValidation>
    <dataValidation type="list" allowBlank="1" showInputMessage="1" showErrorMessage="1" prompt="Select YES or NO" sqref="H82">
      <formula1>"YES,NO"</formula1>
    </dataValidation>
    <dataValidation type="list" allowBlank="1" showInputMessage="1" showErrorMessage="1" prompt="Select YES or NO" sqref="D83">
      <formula1>"YES,NO"</formula1>
    </dataValidation>
    <dataValidation type="list" allowBlank="1" showInputMessage="1" showErrorMessage="1" prompt="Select YES or NO" sqref="E83">
      <formula1>"YES,NO"</formula1>
    </dataValidation>
    <dataValidation type="list" allowBlank="1" showInputMessage="1" showErrorMessage="1" prompt="Select YES or NO" sqref="H83">
      <formula1>"YES,NO"</formula1>
    </dataValidation>
    <dataValidation type="list" allowBlank="1" showInputMessage="1" showErrorMessage="1" prompt="Select YES or NO" sqref="D84">
      <formula1>"YES,NO"</formula1>
    </dataValidation>
    <dataValidation type="list" allowBlank="1" showInputMessage="1" showErrorMessage="1" prompt="Select YES or NO" sqref="E84">
      <formula1>"YES,NO"</formula1>
    </dataValidation>
    <dataValidation type="list" allowBlank="1" showInputMessage="1" showErrorMessage="1" prompt="Select YES or NO" sqref="H84">
      <formula1>"YES,NO"</formula1>
    </dataValidation>
    <dataValidation type="list" allowBlank="1" showInputMessage="1" showErrorMessage="1" prompt="Select YES or NO" sqref="D85">
      <formula1>"YES,NO"</formula1>
    </dataValidation>
    <dataValidation type="list" allowBlank="1" showInputMessage="1" showErrorMessage="1" prompt="Select YES or NO" sqref="E85">
      <formula1>"YES,NO"</formula1>
    </dataValidation>
    <dataValidation type="list" allowBlank="1" showInputMessage="1" showErrorMessage="1" prompt="Select YES or NO" sqref="H85">
      <formula1>"YES,NO"</formula1>
    </dataValidation>
    <dataValidation type="list" allowBlank="1" showInputMessage="1" showErrorMessage="1" prompt="Select YES or NO" sqref="D86">
      <formula1>"YES,NO"</formula1>
    </dataValidation>
    <dataValidation type="list" allowBlank="1" showInputMessage="1" showErrorMessage="1" prompt="Select YES or NO" sqref="E86">
      <formula1>"YES,NO"</formula1>
    </dataValidation>
    <dataValidation type="list" allowBlank="1" showInputMessage="1" showErrorMessage="1" prompt="Select YES or NO" sqref="H86">
      <formula1>"YES,NO"</formula1>
    </dataValidation>
    <dataValidation type="list" allowBlank="1" showInputMessage="1" showErrorMessage="1" prompt="Select YES or NO" sqref="D87">
      <formula1>"YES,NO"</formula1>
    </dataValidation>
    <dataValidation type="list" allowBlank="1" showInputMessage="1" showErrorMessage="1" prompt="Select YES or NO" sqref="E87">
      <formula1>"YES,NO"</formula1>
    </dataValidation>
    <dataValidation type="list" allowBlank="1" showInputMessage="1" showErrorMessage="1" prompt="Select YES or NO" sqref="H87">
      <formula1>"YES,NO"</formula1>
    </dataValidation>
    <dataValidation type="list" allowBlank="1" showInputMessage="1" showErrorMessage="1" prompt="Select YES or NO" sqref="D88">
      <formula1>"YES,NO"</formula1>
    </dataValidation>
    <dataValidation type="list" allowBlank="1" showInputMessage="1" showErrorMessage="1" prompt="Select YES or NO" sqref="E88">
      <formula1>"YES,NO"</formula1>
    </dataValidation>
    <dataValidation type="list" allowBlank="1" showInputMessage="1" showErrorMessage="1" prompt="Select YES or NO" sqref="H88">
      <formula1>"YES,NO"</formula1>
    </dataValidation>
    <dataValidation type="list" allowBlank="1" showInputMessage="1" showErrorMessage="1" prompt="Select YES or NO" sqref="D89">
      <formula1>"YES,NO"</formula1>
    </dataValidation>
    <dataValidation type="list" allowBlank="1" showInputMessage="1" showErrorMessage="1" prompt="Select YES or NO" sqref="E89">
      <formula1>"YES,NO"</formula1>
    </dataValidation>
    <dataValidation type="list" allowBlank="1" showInputMessage="1" showErrorMessage="1" prompt="Select YES or NO" sqref="H89">
      <formula1>"YES,NO"</formula1>
    </dataValidation>
    <dataValidation type="list" allowBlank="1" showInputMessage="1" showErrorMessage="1" prompt="Select YES or NO" sqref="D90">
      <formula1>"YES,NO"</formula1>
    </dataValidation>
    <dataValidation type="list" allowBlank="1" showInputMessage="1" showErrorMessage="1" prompt="Select YES or NO" sqref="E90">
      <formula1>"YES,NO"</formula1>
    </dataValidation>
    <dataValidation type="list" allowBlank="1" showInputMessage="1" showErrorMessage="1" prompt="Select YES or NO" sqref="H90">
      <formula1>"YES,NO"</formula1>
    </dataValidation>
    <dataValidation type="list" allowBlank="1" showInputMessage="1" showErrorMessage="1" prompt="Select YES or NO" sqref="D91">
      <formula1>"YES,NO"</formula1>
    </dataValidation>
    <dataValidation type="list" allowBlank="1" showInputMessage="1" showErrorMessage="1" prompt="Select YES or NO" sqref="E91">
      <formula1>"YES,NO"</formula1>
    </dataValidation>
    <dataValidation type="list" allowBlank="1" showInputMessage="1" showErrorMessage="1" prompt="Select YES or NO" sqref="H91">
      <formula1>"YES,NO"</formula1>
    </dataValidation>
    <dataValidation type="list" allowBlank="1" showInputMessage="1" showErrorMessage="1" prompt="Select YES or NO" sqref="D92">
      <formula1>"YES,NO"</formula1>
    </dataValidation>
    <dataValidation type="list" allowBlank="1" showInputMessage="1" showErrorMessage="1" prompt="Select YES or NO" sqref="E92">
      <formula1>"YES,NO"</formula1>
    </dataValidation>
    <dataValidation type="list" allowBlank="1" showInputMessage="1" showErrorMessage="1" prompt="Select YES or NO" sqref="H92">
      <formula1>"YES,NO"</formula1>
    </dataValidation>
    <dataValidation type="list" allowBlank="1" showInputMessage="1" showErrorMessage="1" prompt="Select YES or NO" sqref="D93">
      <formula1>"YES,NO"</formula1>
    </dataValidation>
    <dataValidation type="list" allowBlank="1" showInputMessage="1" showErrorMessage="1" prompt="Select YES or NO" sqref="E93">
      <formula1>"YES,NO"</formula1>
    </dataValidation>
    <dataValidation type="list" allowBlank="1" showInputMessage="1" showErrorMessage="1" prompt="Select YES or NO" sqref="H93">
      <formula1>"YES,NO"</formula1>
    </dataValidation>
    <dataValidation type="list" allowBlank="1" showInputMessage="1" showErrorMessage="1" prompt="Select YES or NO" sqref="D94">
      <formula1>"YES,NO"</formula1>
    </dataValidation>
    <dataValidation type="list" allowBlank="1" showInputMessage="1" showErrorMessage="1" prompt="Select YES or NO" sqref="E94">
      <formula1>"YES,NO"</formula1>
    </dataValidation>
    <dataValidation type="list" allowBlank="1" showInputMessage="1" showErrorMessage="1" prompt="Select YES or NO" sqref="H94">
      <formula1>"YES,NO"</formula1>
    </dataValidation>
    <dataValidation type="list" allowBlank="1" showInputMessage="1" showErrorMessage="1" prompt="Select YES or NO" sqref="D95">
      <formula1>"YES,NO"</formula1>
    </dataValidation>
    <dataValidation type="list" allowBlank="1" showInputMessage="1" showErrorMessage="1" prompt="Select YES or NO" sqref="E95">
      <formula1>"YES,NO"</formula1>
    </dataValidation>
    <dataValidation type="list" allowBlank="1" showInputMessage="1" showErrorMessage="1" prompt="Select YES or NO" sqref="H95">
      <formula1>"YES,NO"</formula1>
    </dataValidation>
    <dataValidation type="list" allowBlank="1" showInputMessage="1" showErrorMessage="1" prompt="Select YES or NO" sqref="D96">
      <formula1>"YES,NO"</formula1>
    </dataValidation>
    <dataValidation type="list" allowBlank="1" showInputMessage="1" showErrorMessage="1" prompt="Select YES or NO" sqref="E96">
      <formula1>"YES,NO"</formula1>
    </dataValidation>
    <dataValidation type="list" allowBlank="1" showInputMessage="1" showErrorMessage="1" prompt="Select YES or NO" sqref="H96">
      <formula1>"YES,NO"</formula1>
    </dataValidation>
    <dataValidation type="list" allowBlank="1" showInputMessage="1" showErrorMessage="1" prompt="Select YES or NO" sqref="D97">
      <formula1>"YES,NO"</formula1>
    </dataValidation>
    <dataValidation type="list" allowBlank="1" showInputMessage="1" showErrorMessage="1" prompt="Select YES or NO" sqref="E97">
      <formula1>"YES,NO"</formula1>
    </dataValidation>
    <dataValidation type="list" allowBlank="1" showInputMessage="1" showErrorMessage="1" prompt="Select YES or NO" sqref="H97">
      <formula1>"YES,NO"</formula1>
    </dataValidation>
    <dataValidation type="list" allowBlank="1" showInputMessage="1" showErrorMessage="1" prompt="Select YES or NO" sqref="D98">
      <formula1>"YES,NO"</formula1>
    </dataValidation>
    <dataValidation type="list" allowBlank="1" showInputMessage="1" showErrorMessage="1" prompt="Select YES or NO" sqref="E98">
      <formula1>"YES,NO"</formula1>
    </dataValidation>
    <dataValidation type="list" allowBlank="1" showInputMessage="1" showErrorMessage="1" prompt="Select YES or NO" sqref="H98">
      <formula1>"YES,NO"</formula1>
    </dataValidation>
    <dataValidation type="list" allowBlank="1" showInputMessage="1" showErrorMessage="1" prompt="Select YES or NO" sqref="D99">
      <formula1>"YES,NO"</formula1>
    </dataValidation>
    <dataValidation type="list" allowBlank="1" showInputMessage="1" showErrorMessage="1" prompt="Select YES or NO" sqref="E99">
      <formula1>"YES,NO"</formula1>
    </dataValidation>
    <dataValidation type="list" allowBlank="1" showInputMessage="1" showErrorMessage="1" prompt="Select YES or NO" sqref="H99">
      <formula1>"YES,NO"</formula1>
    </dataValidation>
    <dataValidation type="list" allowBlank="1" showInputMessage="1" showErrorMessage="1" prompt="Select YES or NO" sqref="D100">
      <formula1>"YES,NO"</formula1>
    </dataValidation>
    <dataValidation type="list" allowBlank="1" showInputMessage="1" showErrorMessage="1" prompt="Select YES or NO" sqref="E100">
      <formula1>"YES,NO"</formula1>
    </dataValidation>
    <dataValidation type="list" allowBlank="1" showInputMessage="1" showErrorMessage="1" prompt="Select YES or NO" sqref="H100">
      <formula1>"YES,NO"</formula1>
    </dataValidation>
    <dataValidation type="list" allowBlank="1" showInputMessage="1" showErrorMessage="1" prompt="Select YES or NO" sqref="D101">
      <formula1>"YES,NO"</formula1>
    </dataValidation>
    <dataValidation type="list" allowBlank="1" showInputMessage="1" showErrorMessage="1" prompt="Select YES or NO" sqref="E101">
      <formula1>"YES,NO"</formula1>
    </dataValidation>
    <dataValidation type="list" allowBlank="1" showInputMessage="1" showErrorMessage="1" prompt="Select YES or NO" sqref="H101">
      <formula1>"YES,NO"</formula1>
    </dataValidation>
    <dataValidation type="list" allowBlank="1" showInputMessage="1" showErrorMessage="1" prompt="Select YES or NO" sqref="D102">
      <formula1>"YES,NO"</formula1>
    </dataValidation>
    <dataValidation type="list" allowBlank="1" showInputMessage="1" showErrorMessage="1" prompt="Select YES or NO" sqref="E102">
      <formula1>"YES,NO"</formula1>
    </dataValidation>
    <dataValidation type="list" allowBlank="1" showInputMessage="1" showErrorMessage="1" prompt="Select YES or NO" sqref="H102">
      <formula1>"YES,NO"</formula1>
    </dataValidation>
    <dataValidation type="list" allowBlank="1" showInputMessage="1" showErrorMessage="1" prompt="Select YES or NO" sqref="D103">
      <formula1>"YES,NO"</formula1>
    </dataValidation>
    <dataValidation type="list" allowBlank="1" showInputMessage="1" showErrorMessage="1" prompt="Select YES or NO" sqref="E103">
      <formula1>"YES,NO"</formula1>
    </dataValidation>
    <dataValidation type="list" allowBlank="1" showInputMessage="1" showErrorMessage="1" prompt="Select YES or NO" sqref="H103">
      <formula1>"YES,NO"</formula1>
    </dataValidation>
    <dataValidation type="list" allowBlank="1" showInputMessage="1" showErrorMessage="1" prompt="Select YES or NO" sqref="D104">
      <formula1>"YES,NO"</formula1>
    </dataValidation>
    <dataValidation type="list" allowBlank="1" showInputMessage="1" showErrorMessage="1" prompt="Select YES or NO" sqref="E104">
      <formula1>"YES,NO"</formula1>
    </dataValidation>
    <dataValidation type="list" allowBlank="1" showInputMessage="1" showErrorMessage="1" prompt="Select YES or NO" sqref="H104">
      <formula1>"YES,NO"</formula1>
    </dataValidation>
    <dataValidation type="list" allowBlank="1" showInputMessage="1" showErrorMessage="1" prompt="Select YES or NO" sqref="D105">
      <formula1>"YES,NO"</formula1>
    </dataValidation>
    <dataValidation type="list" allowBlank="1" showInputMessage="1" showErrorMessage="1" prompt="Select YES or NO" sqref="E105">
      <formula1>"YES,NO"</formula1>
    </dataValidation>
    <dataValidation type="list" allowBlank="1" showInputMessage="1" showErrorMessage="1" prompt="Select YES or NO" sqref="H105">
      <formula1>"YES,NO"</formula1>
    </dataValidation>
    <dataValidation type="list" allowBlank="1" showInputMessage="1" showErrorMessage="1" prompt="Select YES or NO" sqref="D106">
      <formula1>"YES,NO"</formula1>
    </dataValidation>
    <dataValidation type="list" allowBlank="1" showInputMessage="1" showErrorMessage="1" prompt="Select YES or NO" sqref="E106">
      <formula1>"YES,NO"</formula1>
    </dataValidation>
    <dataValidation type="list" allowBlank="1" showInputMessage="1" showErrorMessage="1" prompt="Select YES or NO" sqref="H106">
      <formula1>"YES,NO"</formula1>
    </dataValidation>
    <dataValidation type="list" allowBlank="1" showInputMessage="1" showErrorMessage="1" prompt="Select YES or NO" sqref="D107">
      <formula1>"YES,NO"</formula1>
    </dataValidation>
    <dataValidation type="list" allowBlank="1" showInputMessage="1" showErrorMessage="1" prompt="Select YES or NO" sqref="E107">
      <formula1>"YES,NO"</formula1>
    </dataValidation>
    <dataValidation type="list" allowBlank="1" showInputMessage="1" showErrorMessage="1" prompt="Select YES or NO" sqref="H107">
      <formula1>"YES,NO"</formula1>
    </dataValidation>
    <dataValidation type="list" allowBlank="1" showInputMessage="1" showErrorMessage="1" prompt="Select YES or NO" sqref="D108">
      <formula1>"YES,NO"</formula1>
    </dataValidation>
    <dataValidation type="list" allowBlank="1" showInputMessage="1" showErrorMessage="1" prompt="Select YES or NO" sqref="E108">
      <formula1>"YES,NO"</formula1>
    </dataValidation>
    <dataValidation type="list" allowBlank="1" showInputMessage="1" showErrorMessage="1" prompt="Select YES or NO" sqref="H108">
      <formula1>"YES,NO"</formula1>
    </dataValidation>
    <dataValidation type="list" allowBlank="1" showInputMessage="1" showErrorMessage="1" prompt="Select YES or NO" sqref="D109">
      <formula1>"YES,NO"</formula1>
    </dataValidation>
    <dataValidation type="list" allowBlank="1" showInputMessage="1" showErrorMessage="1" prompt="Select YES or NO" sqref="E109">
      <formula1>"YES,NO"</formula1>
    </dataValidation>
    <dataValidation type="list" allowBlank="1" showInputMessage="1" showErrorMessage="1" prompt="Select YES or NO" sqref="H109">
      <formula1>"YES,NO"</formula1>
    </dataValidation>
    <dataValidation type="list" allowBlank="1" showInputMessage="1" showErrorMessage="1" prompt="Select YES or NO" sqref="D110">
      <formula1>"YES,NO"</formula1>
    </dataValidation>
    <dataValidation type="list" allowBlank="1" showInputMessage="1" showErrorMessage="1" prompt="Select YES or NO" sqref="E110">
      <formula1>"YES,NO"</formula1>
    </dataValidation>
    <dataValidation type="list" allowBlank="1" showInputMessage="1" showErrorMessage="1" prompt="Select YES or NO" sqref="H110">
      <formula1>"YES,NO"</formula1>
    </dataValidation>
    <dataValidation type="list" allowBlank="1" showInputMessage="1" showErrorMessage="1" prompt="Select YES or NO" sqref="D111">
      <formula1>"YES,NO"</formula1>
    </dataValidation>
    <dataValidation type="list" allowBlank="1" showInputMessage="1" showErrorMessage="1" prompt="Select YES or NO" sqref="E111">
      <formula1>"YES,NO"</formula1>
    </dataValidation>
    <dataValidation type="list" allowBlank="1" showInputMessage="1" showErrorMessage="1" prompt="Select YES or NO" sqref="H111">
      <formula1>"YES,NO"</formula1>
    </dataValidation>
    <dataValidation type="list" allowBlank="1" showInputMessage="1" showErrorMessage="1" prompt="Select YES or NO" sqref="D112">
      <formula1>"YES,NO"</formula1>
    </dataValidation>
    <dataValidation type="list" allowBlank="1" showInputMessage="1" showErrorMessage="1" prompt="Select YES or NO" sqref="E112">
      <formula1>"YES,NO"</formula1>
    </dataValidation>
    <dataValidation type="list" allowBlank="1" showInputMessage="1" showErrorMessage="1" prompt="Select YES or NO" sqref="H112">
      <formula1>"YES,NO"</formula1>
    </dataValidation>
    <dataValidation type="list" allowBlank="1" showInputMessage="1" showErrorMessage="1" prompt="Select YES or NO" sqref="D113">
      <formula1>"YES,NO"</formula1>
    </dataValidation>
    <dataValidation type="list" allowBlank="1" showInputMessage="1" showErrorMessage="1" prompt="Select YES or NO" sqref="E113">
      <formula1>"YES,NO"</formula1>
    </dataValidation>
    <dataValidation type="list" allowBlank="1" showInputMessage="1" showErrorMessage="1" prompt="Select YES or NO" sqref="H113">
      <formula1>"YES,NO"</formula1>
    </dataValidation>
    <dataValidation type="list" allowBlank="1" showInputMessage="1" showErrorMessage="1" prompt="Select YES or NO" sqref="D114">
      <formula1>"YES,NO"</formula1>
    </dataValidation>
    <dataValidation type="list" allowBlank="1" showInputMessage="1" showErrorMessage="1" prompt="Select YES or NO" sqref="E114">
      <formula1>"YES,NO"</formula1>
    </dataValidation>
    <dataValidation type="list" allowBlank="1" showInputMessage="1" showErrorMessage="1" prompt="Select YES or NO" sqref="H114">
      <formula1>"YES,NO"</formula1>
    </dataValidation>
    <dataValidation type="list" allowBlank="1" showInputMessage="1" showErrorMessage="1" prompt="Select YES or NO" sqref="D115">
      <formula1>"YES,NO"</formula1>
    </dataValidation>
    <dataValidation type="list" allowBlank="1" showInputMessage="1" showErrorMessage="1" prompt="Select YES or NO" sqref="E115">
      <formula1>"YES,NO"</formula1>
    </dataValidation>
    <dataValidation type="list" allowBlank="1" showInputMessage="1" showErrorMessage="1" prompt="Select YES or NO" sqref="H115">
      <formula1>"YES,NO"</formula1>
    </dataValidation>
    <dataValidation type="list" allowBlank="1" showInputMessage="1" showErrorMessage="1" prompt="Select YES or NO" sqref="D116">
      <formula1>"YES,NO"</formula1>
    </dataValidation>
    <dataValidation type="list" allowBlank="1" showInputMessage="1" showErrorMessage="1" prompt="Select YES or NO" sqref="E116">
      <formula1>"YES,NO"</formula1>
    </dataValidation>
    <dataValidation type="list" allowBlank="1" showInputMessage="1" showErrorMessage="1" prompt="Select YES or NO" sqref="H116">
      <formula1>"YES,NO"</formula1>
    </dataValidation>
    <dataValidation type="list" allowBlank="1" showInputMessage="1" showErrorMessage="1" prompt="Select YES or NO" sqref="D117">
      <formula1>"YES,NO"</formula1>
    </dataValidation>
    <dataValidation type="list" allowBlank="1" showInputMessage="1" showErrorMessage="1" prompt="Select YES or NO" sqref="E117">
      <formula1>"YES,NO"</formula1>
    </dataValidation>
    <dataValidation type="list" allowBlank="1" showInputMessage="1" showErrorMessage="1" prompt="Select YES or NO" sqref="H117">
      <formula1>"YES,NO"</formula1>
    </dataValidation>
    <dataValidation type="list" allowBlank="1" showInputMessage="1" showErrorMessage="1" prompt="Select YES or NO" sqref="D118">
      <formula1>"YES,NO"</formula1>
    </dataValidation>
    <dataValidation type="list" allowBlank="1" showInputMessage="1" showErrorMessage="1" prompt="Select YES or NO" sqref="E118">
      <formula1>"YES,NO"</formula1>
    </dataValidation>
    <dataValidation type="list" allowBlank="1" showInputMessage="1" showErrorMessage="1" prompt="Select YES or NO" sqref="H118">
      <formula1>"YES,NO"</formula1>
    </dataValidation>
    <dataValidation type="list" allowBlank="1" showInputMessage="1" showErrorMessage="1" prompt="Select YES or NO" sqref="D119">
      <formula1>"YES,NO"</formula1>
    </dataValidation>
    <dataValidation type="list" allowBlank="1" showInputMessage="1" showErrorMessage="1" prompt="Select YES or NO" sqref="E119">
      <formula1>"YES,NO"</formula1>
    </dataValidation>
    <dataValidation type="list" allowBlank="1" showInputMessage="1" showErrorMessage="1" prompt="Select YES or NO" sqref="H119">
      <formula1>"YES,NO"</formula1>
    </dataValidation>
    <dataValidation type="list" allowBlank="1" showInputMessage="1" showErrorMessage="1" prompt="Select YES or NO" sqref="D120">
      <formula1>"YES,NO"</formula1>
    </dataValidation>
    <dataValidation type="list" allowBlank="1" showInputMessage="1" showErrorMessage="1" prompt="Select YES or NO" sqref="E120">
      <formula1>"YES,NO"</formula1>
    </dataValidation>
    <dataValidation type="list" allowBlank="1" showInputMessage="1" showErrorMessage="1" prompt="Select YES or NO" sqref="H120">
      <formula1>"YES,NO"</formula1>
    </dataValidation>
    <dataValidation type="list" allowBlank="1" showInputMessage="1" showErrorMessage="1" prompt="Select YES or NO" sqref="D121">
      <formula1>"YES,NO"</formula1>
    </dataValidation>
    <dataValidation type="list" allowBlank="1" showInputMessage="1" showErrorMessage="1" prompt="Select YES or NO" sqref="E121">
      <formula1>"YES,NO"</formula1>
    </dataValidation>
    <dataValidation type="list" allowBlank="1" showInputMessage="1" showErrorMessage="1" prompt="Select YES or NO" sqref="H121">
      <formula1>"YES,NO"</formula1>
    </dataValidation>
    <dataValidation type="list" allowBlank="1" showInputMessage="1" showErrorMessage="1" prompt="Select YES or NO" sqref="D122">
      <formula1>"YES,NO"</formula1>
    </dataValidation>
    <dataValidation type="list" allowBlank="1" showInputMessage="1" showErrorMessage="1" prompt="Select YES or NO" sqref="E122">
      <formula1>"YES,NO"</formula1>
    </dataValidation>
    <dataValidation type="list" allowBlank="1" showInputMessage="1" showErrorMessage="1" prompt="Select YES or NO" sqref="H122">
      <formula1>"YES,NO"</formula1>
    </dataValidation>
    <dataValidation type="list" allowBlank="1" showInputMessage="1" showErrorMessage="1" prompt="Select YES or NO" sqref="D123">
      <formula1>"YES,NO"</formula1>
    </dataValidation>
    <dataValidation type="list" allowBlank="1" showInputMessage="1" showErrorMessage="1" prompt="Select YES or NO" sqref="E123">
      <formula1>"YES,NO"</formula1>
    </dataValidation>
    <dataValidation type="list" allowBlank="1" showInputMessage="1" showErrorMessage="1" prompt="Select YES or NO" sqref="H123">
      <formula1>"YES,NO"</formula1>
    </dataValidation>
    <dataValidation type="list" allowBlank="1" showInputMessage="1" showErrorMessage="1" prompt="Select YES or NO" sqref="D124">
      <formula1>"YES,NO"</formula1>
    </dataValidation>
    <dataValidation type="list" allowBlank="1" showInputMessage="1" showErrorMessage="1" prompt="Select YES or NO" sqref="E124">
      <formula1>"YES,NO"</formula1>
    </dataValidation>
    <dataValidation type="list" allowBlank="1" showInputMessage="1" showErrorMessage="1" prompt="Select YES or NO" sqref="H124">
      <formula1>"YES,NO"</formula1>
    </dataValidation>
    <dataValidation type="list" allowBlank="1" showInputMessage="1" showErrorMessage="1" prompt="Select YES or NO" sqref="D125">
      <formula1>"YES,NO"</formula1>
    </dataValidation>
    <dataValidation type="list" allowBlank="1" showInputMessage="1" showErrorMessage="1" prompt="Select YES or NO" sqref="E125">
      <formula1>"YES,NO"</formula1>
    </dataValidation>
    <dataValidation type="list" allowBlank="1" showInputMessage="1" showErrorMessage="1" prompt="Select YES or NO" sqref="H125">
      <formula1>"YES,NO"</formula1>
    </dataValidation>
    <dataValidation type="list" allowBlank="1" showInputMessage="1" showErrorMessage="1" prompt="Select YES or NO" sqref="D126">
      <formula1>"YES,NO"</formula1>
    </dataValidation>
    <dataValidation type="list" allowBlank="1" showInputMessage="1" showErrorMessage="1" prompt="Select YES or NO" sqref="E126">
      <formula1>"YES,NO"</formula1>
    </dataValidation>
    <dataValidation type="list" allowBlank="1" showInputMessage="1" showErrorMessage="1" prompt="Select YES or NO" sqref="H126">
      <formula1>"YES,NO"</formula1>
    </dataValidation>
    <dataValidation type="list" allowBlank="1" showInputMessage="1" showErrorMessage="1" prompt="Select YES or NO" sqref="D127">
      <formula1>"YES,NO"</formula1>
    </dataValidation>
    <dataValidation type="list" allowBlank="1" showInputMessage="1" showErrorMessage="1" prompt="Select YES or NO" sqref="E127">
      <formula1>"YES,NO"</formula1>
    </dataValidation>
    <dataValidation type="list" allowBlank="1" showInputMessage="1" showErrorMessage="1" prompt="Select YES or NO" sqref="H127">
      <formula1>"YES,NO"</formula1>
    </dataValidation>
    <dataValidation type="list" allowBlank="1" showInputMessage="1" showErrorMessage="1" prompt="Select YES or NO" sqref="D128">
      <formula1>"YES,NO"</formula1>
    </dataValidation>
    <dataValidation type="list" allowBlank="1" showInputMessage="1" showErrorMessage="1" prompt="Select YES or NO" sqref="E128">
      <formula1>"YES,NO"</formula1>
    </dataValidation>
    <dataValidation type="list" allowBlank="1" showInputMessage="1" showErrorMessage="1" prompt="Select YES or NO" sqref="H128">
      <formula1>"YES,NO"</formula1>
    </dataValidation>
    <dataValidation type="list" allowBlank="1" showInputMessage="1" showErrorMessage="1" prompt="Select YES or NO" sqref="D129">
      <formula1>"YES,NO"</formula1>
    </dataValidation>
    <dataValidation type="list" allowBlank="1" showInputMessage="1" showErrorMessage="1" prompt="Select YES or NO" sqref="E129">
      <formula1>"YES,NO"</formula1>
    </dataValidation>
    <dataValidation type="list" allowBlank="1" showInputMessage="1" showErrorMessage="1" prompt="Select YES or NO" sqref="H129">
      <formula1>"YES,NO"</formula1>
    </dataValidation>
    <dataValidation type="list" allowBlank="1" showInputMessage="1" showErrorMessage="1" prompt="Select YES or NO" sqref="D130">
      <formula1>"YES,NO"</formula1>
    </dataValidation>
    <dataValidation type="list" allowBlank="1" showInputMessage="1" showErrorMessage="1" prompt="Select YES or NO" sqref="E130">
      <formula1>"YES,NO"</formula1>
    </dataValidation>
    <dataValidation type="list" allowBlank="1" showInputMessage="1" showErrorMessage="1" prompt="Select YES or NO" sqref="H130">
      <formula1>"YES,NO"</formula1>
    </dataValidation>
    <dataValidation type="list" allowBlank="1" showInputMessage="1" showErrorMessage="1" prompt="Select YES or NO" sqref="D131">
      <formula1>"YES,NO"</formula1>
    </dataValidation>
    <dataValidation type="list" allowBlank="1" showInputMessage="1" showErrorMessage="1" prompt="Select YES or NO" sqref="E131">
      <formula1>"YES,NO"</formula1>
    </dataValidation>
    <dataValidation type="list" allowBlank="1" showInputMessage="1" showErrorMessage="1" prompt="Select YES or NO" sqref="H131">
      <formula1>"YES,NO"</formula1>
    </dataValidation>
    <dataValidation type="list" allowBlank="1" showInputMessage="1" showErrorMessage="1" prompt="Select YES or NO" sqref="D132">
      <formula1>"YES,NO"</formula1>
    </dataValidation>
    <dataValidation type="list" allowBlank="1" showInputMessage="1" showErrorMessage="1" prompt="Select YES or NO" sqref="E132">
      <formula1>"YES,NO"</formula1>
    </dataValidation>
    <dataValidation type="list" allowBlank="1" showInputMessage="1" showErrorMessage="1" prompt="Select YES or NO" sqref="H132">
      <formula1>"YES,NO"</formula1>
    </dataValidation>
    <dataValidation type="list" allowBlank="1" showInputMessage="1" showErrorMessage="1" prompt="Select YES or NO" sqref="D133">
      <formula1>"YES,NO"</formula1>
    </dataValidation>
    <dataValidation type="list" allowBlank="1" showInputMessage="1" showErrorMessage="1" prompt="Select YES or NO" sqref="E133">
      <formula1>"YES,NO"</formula1>
    </dataValidation>
    <dataValidation type="list" allowBlank="1" showInputMessage="1" showErrorMessage="1" prompt="Select YES or NO" sqref="H133">
      <formula1>"YES,NO"</formula1>
    </dataValidation>
    <dataValidation type="list" allowBlank="1" showInputMessage="1" showErrorMessage="1" prompt="Select YES or NO" sqref="D134">
      <formula1>"YES,NO"</formula1>
    </dataValidation>
    <dataValidation type="list" allowBlank="1" showInputMessage="1" showErrorMessage="1" prompt="Select YES or NO" sqref="E134">
      <formula1>"YES,NO"</formula1>
    </dataValidation>
    <dataValidation type="list" allowBlank="1" showInputMessage="1" showErrorMessage="1" prompt="Select YES or NO" sqref="H134">
      <formula1>"YES,NO"</formula1>
    </dataValidation>
    <dataValidation type="list" allowBlank="1" showInputMessage="1" showErrorMessage="1" prompt="Select YES or NO" sqref="D135">
      <formula1>"YES,NO"</formula1>
    </dataValidation>
    <dataValidation type="list" allowBlank="1" showInputMessage="1" showErrorMessage="1" prompt="Select YES or NO" sqref="E135">
      <formula1>"YES,NO"</formula1>
    </dataValidation>
    <dataValidation type="list" allowBlank="1" showInputMessage="1" showErrorMessage="1" prompt="Select YES or NO" sqref="H135">
      <formula1>"YES,NO"</formula1>
    </dataValidation>
    <dataValidation type="list" allowBlank="1" showInputMessage="1" showErrorMessage="1" prompt="Select YES or NO" sqref="D136">
      <formula1>"YES,NO"</formula1>
    </dataValidation>
    <dataValidation type="list" allowBlank="1" showInputMessage="1" showErrorMessage="1" prompt="Select YES or NO" sqref="E136">
      <formula1>"YES,NO"</formula1>
    </dataValidation>
    <dataValidation type="list" allowBlank="1" showInputMessage="1" showErrorMessage="1" prompt="Select YES or NO" sqref="H136">
      <formula1>"YES,NO"</formula1>
    </dataValidation>
    <dataValidation type="list" allowBlank="1" showInputMessage="1" showErrorMessage="1" prompt="Select YES or NO" sqref="D137">
      <formula1>"YES,NO"</formula1>
    </dataValidation>
    <dataValidation type="list" allowBlank="1" showInputMessage="1" showErrorMessage="1" prompt="Select YES or NO" sqref="E137">
      <formula1>"YES,NO"</formula1>
    </dataValidation>
    <dataValidation type="list" allowBlank="1" showInputMessage="1" showErrorMessage="1" prompt="Select YES or NO" sqref="H137">
      <formula1>"YES,NO"</formula1>
    </dataValidation>
    <dataValidation type="list" allowBlank="1" showInputMessage="1" showErrorMessage="1" prompt="Select YES or NO" sqref="D138">
      <formula1>"YES,NO"</formula1>
    </dataValidation>
    <dataValidation type="list" allowBlank="1" showInputMessage="1" showErrorMessage="1" prompt="Select YES or NO" sqref="E138">
      <formula1>"YES,NO"</formula1>
    </dataValidation>
    <dataValidation type="list" allowBlank="1" showInputMessage="1" showErrorMessage="1" prompt="Select YES or NO" sqref="H138">
      <formula1>"YES,NO"</formula1>
    </dataValidation>
    <dataValidation type="list" allowBlank="1" showInputMessage="1" showErrorMessage="1" prompt="Select YES or NO" sqref="D139">
      <formula1>"YES,NO"</formula1>
    </dataValidation>
    <dataValidation type="list" allowBlank="1" showInputMessage="1" showErrorMessage="1" prompt="Select YES or NO" sqref="E139">
      <formula1>"YES,NO"</formula1>
    </dataValidation>
    <dataValidation type="list" allowBlank="1" showInputMessage="1" showErrorMessage="1" prompt="Select YES or NO" sqref="H139">
      <formula1>"YES,NO"</formula1>
    </dataValidation>
    <dataValidation type="list" allowBlank="1" showInputMessage="1" showErrorMessage="1" prompt="Select YES or NO" sqref="D140">
      <formula1>"YES,NO"</formula1>
    </dataValidation>
    <dataValidation type="list" allowBlank="1" showInputMessage="1" showErrorMessage="1" prompt="Select YES or NO" sqref="E140">
      <formula1>"YES,NO"</formula1>
    </dataValidation>
    <dataValidation type="list" allowBlank="1" showInputMessage="1" showErrorMessage="1" prompt="Select YES or NO" sqref="H140">
      <formula1>"YES,NO"</formula1>
    </dataValidation>
    <dataValidation type="list" allowBlank="1" showInputMessage="1" showErrorMessage="1" prompt="Select YES or NO" sqref="D141">
      <formula1>"YES,NO"</formula1>
    </dataValidation>
    <dataValidation type="list" allowBlank="1" showInputMessage="1" showErrorMessage="1" prompt="Select YES or NO" sqref="E141">
      <formula1>"YES,NO"</formula1>
    </dataValidation>
    <dataValidation type="list" allowBlank="1" showInputMessage="1" showErrorMessage="1" prompt="Select YES or NO" sqref="H141">
      <formula1>"YES,NO"</formula1>
    </dataValidation>
    <dataValidation type="list" allowBlank="1" showInputMessage="1" showErrorMessage="1" prompt="Select YES or NO" sqref="D142">
      <formula1>"YES,NO"</formula1>
    </dataValidation>
    <dataValidation type="list" allowBlank="1" showInputMessage="1" showErrorMessage="1" prompt="Select YES or NO" sqref="E142">
      <formula1>"YES,NO"</formula1>
    </dataValidation>
    <dataValidation type="list" allowBlank="1" showInputMessage="1" showErrorMessage="1" prompt="Select YES or NO" sqref="H142">
      <formula1>"YES,NO"</formula1>
    </dataValidation>
    <dataValidation type="list" allowBlank="1" showInputMessage="1" showErrorMessage="1" prompt="Select YES or NO" sqref="D143">
      <formula1>"YES,NO"</formula1>
    </dataValidation>
    <dataValidation type="list" allowBlank="1" showInputMessage="1" showErrorMessage="1" prompt="Select YES or NO" sqref="E143">
      <formula1>"YES,NO"</formula1>
    </dataValidation>
    <dataValidation type="list" allowBlank="1" showInputMessage="1" showErrorMessage="1" prompt="Select YES or NO" sqref="H143">
      <formula1>"YES,NO"</formula1>
    </dataValidation>
    <dataValidation type="list" allowBlank="1" showInputMessage="1" showErrorMessage="1" prompt="Select YES or NO" sqref="D144">
      <formula1>"YES,NO"</formula1>
    </dataValidation>
    <dataValidation type="list" allowBlank="1" showInputMessage="1" showErrorMessage="1" prompt="Select YES or NO" sqref="E144">
      <formula1>"YES,NO"</formula1>
    </dataValidation>
    <dataValidation type="list" allowBlank="1" showInputMessage="1" showErrorMessage="1" prompt="Select YES or NO" sqref="H144">
      <formula1>"YES,NO"</formula1>
    </dataValidation>
    <dataValidation type="list" allowBlank="1" showInputMessage="1" showErrorMessage="1" prompt="Select YES or NO" sqref="D145">
      <formula1>"YES,NO"</formula1>
    </dataValidation>
    <dataValidation type="list" allowBlank="1" showInputMessage="1" showErrorMessage="1" prompt="Select YES or NO" sqref="E145">
      <formula1>"YES,NO"</formula1>
    </dataValidation>
    <dataValidation type="list" allowBlank="1" showInputMessage="1" showErrorMessage="1" prompt="Select YES or NO" sqref="H145">
      <formula1>"YES,NO"</formula1>
    </dataValidation>
    <dataValidation type="list" allowBlank="1" showInputMessage="1" showErrorMessage="1" prompt="Select YES or NO" sqref="D146">
      <formula1>"YES,NO"</formula1>
    </dataValidation>
    <dataValidation type="list" allowBlank="1" showInputMessage="1" showErrorMessage="1" prompt="Select YES or NO" sqref="E146">
      <formula1>"YES,NO"</formula1>
    </dataValidation>
    <dataValidation type="list" allowBlank="1" showInputMessage="1" showErrorMessage="1" prompt="Select YES or NO" sqref="H146">
      <formula1>"YES,NO"</formula1>
    </dataValidation>
    <dataValidation type="list" allowBlank="1" showInputMessage="1" showErrorMessage="1" prompt="Select YES or NO" sqref="D147">
      <formula1>"YES,NO"</formula1>
    </dataValidation>
    <dataValidation type="list" allowBlank="1" showInputMessage="1" showErrorMessage="1" prompt="Select YES or NO" sqref="E147">
      <formula1>"YES,NO"</formula1>
    </dataValidation>
    <dataValidation type="list" allowBlank="1" showInputMessage="1" showErrorMessage="1" prompt="Select YES or NO" sqref="H147">
      <formula1>"YES,NO"</formula1>
    </dataValidation>
    <dataValidation type="list" allowBlank="1" showInputMessage="1" showErrorMessage="1" prompt="Select YES or NO" sqref="D148">
      <formula1>"YES,NO"</formula1>
    </dataValidation>
    <dataValidation type="list" allowBlank="1" showInputMessage="1" showErrorMessage="1" prompt="Select YES or NO" sqref="E148">
      <formula1>"YES,NO"</formula1>
    </dataValidation>
    <dataValidation type="list" allowBlank="1" showInputMessage="1" showErrorMessage="1" prompt="Select YES or NO" sqref="H148">
      <formula1>"YES,NO"</formula1>
    </dataValidation>
    <dataValidation type="list" allowBlank="1" showInputMessage="1" showErrorMessage="1" prompt="Select YES or NO" sqref="D149">
      <formula1>"YES,NO"</formula1>
    </dataValidation>
    <dataValidation type="list" allowBlank="1" showInputMessage="1" showErrorMessage="1" prompt="Select YES or NO" sqref="E149">
      <formula1>"YES,NO"</formula1>
    </dataValidation>
    <dataValidation type="list" allowBlank="1" showInputMessage="1" showErrorMessage="1" prompt="Select YES or NO" sqref="H149">
      <formula1>"YES,NO"</formula1>
    </dataValidation>
    <dataValidation type="list" allowBlank="1" showInputMessage="1" showErrorMessage="1" prompt="Select YES or NO" sqref="D150">
      <formula1>"YES,NO"</formula1>
    </dataValidation>
    <dataValidation type="list" allowBlank="1" showInputMessage="1" showErrorMessage="1" prompt="Select YES or NO" sqref="E150">
      <formula1>"YES,NO"</formula1>
    </dataValidation>
    <dataValidation type="list" allowBlank="1" showInputMessage="1" showErrorMessage="1" prompt="Select YES or NO" sqref="H150">
      <formula1>"YES,NO"</formula1>
    </dataValidation>
    <dataValidation type="list" allowBlank="1" showInputMessage="1" showErrorMessage="1" prompt="Select YES or NO" sqref="D151">
      <formula1>"YES,NO"</formula1>
    </dataValidation>
    <dataValidation type="list" allowBlank="1" showInputMessage="1" showErrorMessage="1" prompt="Select YES or NO" sqref="E151">
      <formula1>"YES,NO"</formula1>
    </dataValidation>
    <dataValidation type="list" allowBlank="1" showInputMessage="1" showErrorMessage="1" prompt="Select YES or NO" sqref="H151">
      <formula1>"YES,NO"</formula1>
    </dataValidation>
    <dataValidation type="list" allowBlank="1" showInputMessage="1" showErrorMessage="1" prompt="Select YES or NO" sqref="D152">
      <formula1>"YES,NO"</formula1>
    </dataValidation>
    <dataValidation type="list" allowBlank="1" showInputMessage="1" showErrorMessage="1" prompt="Select YES or NO" sqref="E152">
      <formula1>"YES,NO"</formula1>
    </dataValidation>
    <dataValidation type="list" allowBlank="1" showInputMessage="1" showErrorMessage="1" prompt="Select YES or NO" sqref="H152">
      <formula1>"YES,NO"</formula1>
    </dataValidation>
    <dataValidation type="list" allowBlank="1" showInputMessage="1" showErrorMessage="1" prompt="Select YES or NO" sqref="D153">
      <formula1>"YES,NO"</formula1>
    </dataValidation>
    <dataValidation type="list" allowBlank="1" showInputMessage="1" showErrorMessage="1" prompt="Select YES or NO" sqref="E153">
      <formula1>"YES,NO"</formula1>
    </dataValidation>
    <dataValidation type="list" allowBlank="1" showInputMessage="1" showErrorMessage="1" prompt="Select YES or NO" sqref="H153">
      <formula1>"YES,NO"</formula1>
    </dataValidation>
    <dataValidation type="list" allowBlank="1" showInputMessage="1" showErrorMessage="1" prompt="Select YES or NO" sqref="D154">
      <formula1>"YES,NO"</formula1>
    </dataValidation>
    <dataValidation type="list" allowBlank="1" showInputMessage="1" showErrorMessage="1" prompt="Select YES or NO" sqref="E154">
      <formula1>"YES,NO"</formula1>
    </dataValidation>
    <dataValidation type="list" allowBlank="1" showInputMessage="1" showErrorMessage="1" prompt="Select YES or NO" sqref="H154">
      <formula1>"YES,NO"</formula1>
    </dataValidation>
    <dataValidation type="list" allowBlank="1" showInputMessage="1" showErrorMessage="1" prompt="Select YES or NO" sqref="D155">
      <formula1>"YES,NO"</formula1>
    </dataValidation>
    <dataValidation type="list" allowBlank="1" showInputMessage="1" showErrorMessage="1" prompt="Select YES or NO" sqref="E155">
      <formula1>"YES,NO"</formula1>
    </dataValidation>
    <dataValidation type="list" allowBlank="1" showInputMessage="1" showErrorMessage="1" prompt="Select YES or NO" sqref="H155">
      <formula1>"YES,NO"</formula1>
    </dataValidation>
    <dataValidation type="list" allowBlank="1" showInputMessage="1" showErrorMessage="1" prompt="Select YES or NO" sqref="D156">
      <formula1>"YES,NO"</formula1>
    </dataValidation>
    <dataValidation type="list" allowBlank="1" showInputMessage="1" showErrorMessage="1" prompt="Select YES or NO" sqref="E156">
      <formula1>"YES,NO"</formula1>
    </dataValidation>
    <dataValidation type="list" allowBlank="1" showInputMessage="1" showErrorMessage="1" prompt="Select YES or NO" sqref="H156">
      <formula1>"YES,NO"</formula1>
    </dataValidation>
    <dataValidation type="list" allowBlank="1" showInputMessage="1" showErrorMessage="1" prompt="Select YES or NO" sqref="D157">
      <formula1>"YES,NO"</formula1>
    </dataValidation>
    <dataValidation type="list" allowBlank="1" showInputMessage="1" showErrorMessage="1" prompt="Select YES or NO" sqref="E157">
      <formula1>"YES,NO"</formula1>
    </dataValidation>
    <dataValidation type="list" allowBlank="1" showInputMessage="1" showErrorMessage="1" prompt="Select YES or NO" sqref="H157">
      <formula1>"YES,NO"</formula1>
    </dataValidation>
    <dataValidation type="list" allowBlank="1" showInputMessage="1" showErrorMessage="1" prompt="Select YES or NO" sqref="D158">
      <formula1>"YES,NO"</formula1>
    </dataValidation>
    <dataValidation type="list" allowBlank="1" showInputMessage="1" showErrorMessage="1" prompt="Select YES or NO" sqref="E158">
      <formula1>"YES,NO"</formula1>
    </dataValidation>
    <dataValidation type="list" allowBlank="1" showInputMessage="1" showErrorMessage="1" prompt="Select YES or NO" sqref="H158">
      <formula1>"YES,NO"</formula1>
    </dataValidation>
    <dataValidation type="list" allowBlank="1" showInputMessage="1" showErrorMessage="1" prompt="Select YES or NO" sqref="D159">
      <formula1>"YES,NO"</formula1>
    </dataValidation>
    <dataValidation type="list" allowBlank="1" showInputMessage="1" showErrorMessage="1" prompt="Select YES or NO" sqref="E159">
      <formula1>"YES,NO"</formula1>
    </dataValidation>
    <dataValidation type="list" allowBlank="1" showInputMessage="1" showErrorMessage="1" prompt="Select YES or NO" sqref="H159">
      <formula1>"YES,NO"</formula1>
    </dataValidation>
    <dataValidation type="list" allowBlank="1" showInputMessage="1" showErrorMessage="1" prompt="Select YES or NO" sqref="D160">
      <formula1>"YES,NO"</formula1>
    </dataValidation>
    <dataValidation type="list" allowBlank="1" showInputMessage="1" showErrorMessage="1" prompt="Select YES or NO" sqref="E160">
      <formula1>"YES,NO"</formula1>
    </dataValidation>
    <dataValidation type="list" allowBlank="1" showInputMessage="1" showErrorMessage="1" prompt="Select YES or NO" sqref="H160">
      <formula1>"YES,NO"</formula1>
    </dataValidation>
    <dataValidation type="list" allowBlank="1" showInputMessage="1" showErrorMessage="1" prompt="Select YES or NO" sqref="D161">
      <formula1>"YES,NO"</formula1>
    </dataValidation>
    <dataValidation type="list" allowBlank="1" showInputMessage="1" showErrorMessage="1" prompt="Select YES or NO" sqref="E161">
      <formula1>"YES,NO"</formula1>
    </dataValidation>
    <dataValidation type="list" allowBlank="1" showInputMessage="1" showErrorMessage="1" prompt="Select YES or NO" sqref="H161">
      <formula1>"YES,NO"</formula1>
    </dataValidation>
    <dataValidation type="list" allowBlank="1" showInputMessage="1" showErrorMessage="1" prompt="Select YES or NO" sqref="D162">
      <formula1>"YES,NO"</formula1>
    </dataValidation>
    <dataValidation type="list" allowBlank="1" showInputMessage="1" showErrorMessage="1" prompt="Select YES or NO" sqref="E162">
      <formula1>"YES,NO"</formula1>
    </dataValidation>
    <dataValidation type="list" allowBlank="1" showInputMessage="1" showErrorMessage="1" prompt="Select YES or NO" sqref="H162">
      <formula1>"YES,NO"</formula1>
    </dataValidation>
    <dataValidation type="list" allowBlank="1" showInputMessage="1" showErrorMessage="1" prompt="Select YES or NO" sqref="D163">
      <formula1>"YES,NO"</formula1>
    </dataValidation>
    <dataValidation type="list" allowBlank="1" showInputMessage="1" showErrorMessage="1" prompt="Select YES or NO" sqref="E163">
      <formula1>"YES,NO"</formula1>
    </dataValidation>
    <dataValidation type="list" allowBlank="1" showInputMessage="1" showErrorMessage="1" prompt="Select YES or NO" sqref="H163">
      <formula1>"YES,NO"</formula1>
    </dataValidation>
    <dataValidation type="list" allowBlank="1" showInputMessage="1" showErrorMessage="1" prompt="Select YES or NO" sqref="D164">
      <formula1>"YES,NO"</formula1>
    </dataValidation>
    <dataValidation type="list" allowBlank="1" showInputMessage="1" showErrorMessage="1" prompt="Select YES or NO" sqref="E164">
      <formula1>"YES,NO"</formula1>
    </dataValidation>
    <dataValidation type="list" allowBlank="1" showInputMessage="1" showErrorMessage="1" prompt="Select YES or NO" sqref="H164">
      <formula1>"YES,NO"</formula1>
    </dataValidation>
    <dataValidation type="list" allowBlank="1" showInputMessage="1" showErrorMessage="1" prompt="Select YES or NO" sqref="D165">
      <formula1>"YES,NO"</formula1>
    </dataValidation>
    <dataValidation type="list" allowBlank="1" showInputMessage="1" showErrorMessage="1" prompt="Select YES or NO" sqref="E165">
      <formula1>"YES,NO"</formula1>
    </dataValidation>
    <dataValidation type="list" allowBlank="1" showInputMessage="1" showErrorMessage="1" prompt="Select YES or NO" sqref="H165">
      <formula1>"YES,NO"</formula1>
    </dataValidation>
    <dataValidation type="list" allowBlank="1" showInputMessage="1" showErrorMessage="1" prompt="Select YES or NO" sqref="D166">
      <formula1>"YES,NO"</formula1>
    </dataValidation>
    <dataValidation type="list" allowBlank="1" showInputMessage="1" showErrorMessage="1" prompt="Select YES or NO" sqref="E166">
      <formula1>"YES,NO"</formula1>
    </dataValidation>
    <dataValidation type="list" allowBlank="1" showInputMessage="1" showErrorMessage="1" prompt="Select YES or NO" sqref="H166">
      <formula1>"YES,NO"</formula1>
    </dataValidation>
    <dataValidation type="list" allowBlank="1" showInputMessage="1" showErrorMessage="1" prompt="Select YES or NO" sqref="D167">
      <formula1>"YES,NO"</formula1>
    </dataValidation>
    <dataValidation type="list" allowBlank="1" showInputMessage="1" showErrorMessage="1" prompt="Select YES or NO" sqref="E167">
      <formula1>"YES,NO"</formula1>
    </dataValidation>
    <dataValidation type="list" allowBlank="1" showInputMessage="1" showErrorMessage="1" prompt="Select YES or NO" sqref="H167">
      <formula1>"YES,NO"</formula1>
    </dataValidation>
    <dataValidation type="list" allowBlank="1" showInputMessage="1" showErrorMessage="1" prompt="Select YES or NO" sqref="D168">
      <formula1>"YES,NO"</formula1>
    </dataValidation>
    <dataValidation type="list" allowBlank="1" showInputMessage="1" showErrorMessage="1" prompt="Select YES or NO" sqref="E168">
      <formula1>"YES,NO"</formula1>
    </dataValidation>
    <dataValidation type="list" allowBlank="1" showInputMessage="1" showErrorMessage="1" prompt="Select YES or NO" sqref="H168">
      <formula1>"YES,NO"</formula1>
    </dataValidation>
    <dataValidation type="list" allowBlank="1" showInputMessage="1" showErrorMessage="1" prompt="Select YES or NO" sqref="D169">
      <formula1>"YES,NO"</formula1>
    </dataValidation>
    <dataValidation type="list" allowBlank="1" showInputMessage="1" showErrorMessage="1" prompt="Select YES or NO" sqref="E169">
      <formula1>"YES,NO"</formula1>
    </dataValidation>
    <dataValidation type="list" allowBlank="1" showInputMessage="1" showErrorMessage="1" prompt="Select YES or NO" sqref="H169">
      <formula1>"YES,NO"</formula1>
    </dataValidation>
    <dataValidation type="list" allowBlank="1" showInputMessage="1" showErrorMessage="1" prompt="Select YES or NO" sqref="D170">
      <formula1>"YES,NO"</formula1>
    </dataValidation>
    <dataValidation type="list" allowBlank="1" showInputMessage="1" showErrorMessage="1" prompt="Select YES or NO" sqref="E170">
      <formula1>"YES,NO"</formula1>
    </dataValidation>
    <dataValidation type="list" allowBlank="1" showInputMessage="1" showErrorMessage="1" prompt="Select YES or NO" sqref="H170">
      <formula1>"YES,NO"</formula1>
    </dataValidation>
    <dataValidation type="list" allowBlank="1" showInputMessage="1" showErrorMessage="1" prompt="Select YES or NO" sqref="D171">
      <formula1>"YES,NO"</formula1>
    </dataValidation>
    <dataValidation type="list" allowBlank="1" showInputMessage="1" showErrorMessage="1" prompt="Select YES or NO" sqref="E171">
      <formula1>"YES,NO"</formula1>
    </dataValidation>
    <dataValidation type="list" allowBlank="1" showInputMessage="1" showErrorMessage="1" prompt="Select YES or NO" sqref="H171">
      <formula1>"YES,NO"</formula1>
    </dataValidation>
    <dataValidation type="list" allowBlank="1" showInputMessage="1" showErrorMessage="1" prompt="Select YES or NO" sqref="D172">
      <formula1>"YES,NO"</formula1>
    </dataValidation>
    <dataValidation type="list" allowBlank="1" showInputMessage="1" showErrorMessage="1" prompt="Select YES or NO" sqref="E172">
      <formula1>"YES,NO"</formula1>
    </dataValidation>
    <dataValidation type="list" allowBlank="1" showInputMessage="1" showErrorMessage="1" prompt="Select YES or NO" sqref="H172">
      <formula1>"YES,NO"</formula1>
    </dataValidation>
    <dataValidation type="list" allowBlank="1" showInputMessage="1" showErrorMessage="1" prompt="Select YES or NO" sqref="D173">
      <formula1>"YES,NO"</formula1>
    </dataValidation>
    <dataValidation type="list" allowBlank="1" showInputMessage="1" showErrorMessage="1" prompt="Select YES or NO" sqref="E173">
      <formula1>"YES,NO"</formula1>
    </dataValidation>
    <dataValidation type="list" allowBlank="1" showInputMessage="1" showErrorMessage="1" prompt="Select YES or NO" sqref="H173">
      <formula1>"YES,NO"</formula1>
    </dataValidation>
    <dataValidation type="list" allowBlank="1" showInputMessage="1" showErrorMessage="1" prompt="Select YES or NO" sqref="D174">
      <formula1>"YES,NO"</formula1>
    </dataValidation>
    <dataValidation type="list" allowBlank="1" showInputMessage="1" showErrorMessage="1" prompt="Select YES or NO" sqref="E174">
      <formula1>"YES,NO"</formula1>
    </dataValidation>
    <dataValidation type="list" allowBlank="1" showInputMessage="1" showErrorMessage="1" prompt="Select YES or NO" sqref="H174">
      <formula1>"YES,NO"</formula1>
    </dataValidation>
    <dataValidation type="list" allowBlank="1" showInputMessage="1" showErrorMessage="1" prompt="Select YES or NO" sqref="D175">
      <formula1>"YES,NO"</formula1>
    </dataValidation>
    <dataValidation type="list" allowBlank="1" showInputMessage="1" showErrorMessage="1" prompt="Select YES or NO" sqref="E175">
      <formula1>"YES,NO"</formula1>
    </dataValidation>
    <dataValidation type="list" allowBlank="1" showInputMessage="1" showErrorMessage="1" prompt="Select YES or NO" sqref="H175">
      <formula1>"YES,NO"</formula1>
    </dataValidation>
    <dataValidation type="list" allowBlank="1" showInputMessage="1" showErrorMessage="1" prompt="Select YES or NO" sqref="D176">
      <formula1>"YES,NO"</formula1>
    </dataValidation>
    <dataValidation type="list" allowBlank="1" showInputMessage="1" showErrorMessage="1" prompt="Select YES or NO" sqref="E176">
      <formula1>"YES,NO"</formula1>
    </dataValidation>
    <dataValidation type="list" allowBlank="1" showInputMessage="1" showErrorMessage="1" prompt="Select YES or NO" sqref="H176">
      <formula1>"YES,NO"</formula1>
    </dataValidation>
    <dataValidation type="list" allowBlank="1" showInputMessage="1" showErrorMessage="1" prompt="Select YES or NO" sqref="D177">
      <formula1>"YES,NO"</formula1>
    </dataValidation>
    <dataValidation type="list" allowBlank="1" showInputMessage="1" showErrorMessage="1" prompt="Select YES or NO" sqref="E177">
      <formula1>"YES,NO"</formula1>
    </dataValidation>
    <dataValidation type="list" allowBlank="1" showInputMessage="1" showErrorMessage="1" prompt="Select YES or NO" sqref="H177">
      <formula1>"YES,NO"</formula1>
    </dataValidation>
    <dataValidation type="list" allowBlank="1" showInputMessage="1" showErrorMessage="1" prompt="Select YES or NO" sqref="D178">
      <formula1>"YES,NO"</formula1>
    </dataValidation>
    <dataValidation type="list" allowBlank="1" showInputMessage="1" showErrorMessage="1" prompt="Select YES or NO" sqref="E178">
      <formula1>"YES,NO"</formula1>
    </dataValidation>
    <dataValidation type="list" allowBlank="1" showInputMessage="1" showErrorMessage="1" prompt="Select YES or NO" sqref="H178">
      <formula1>"YES,NO"</formula1>
    </dataValidation>
    <dataValidation type="list" allowBlank="1" showInputMessage="1" showErrorMessage="1" prompt="Select YES or NO" sqref="D179">
      <formula1>"YES,NO"</formula1>
    </dataValidation>
    <dataValidation type="list" allowBlank="1" showInputMessage="1" showErrorMessage="1" prompt="Select YES or NO" sqref="E179">
      <formula1>"YES,NO"</formula1>
    </dataValidation>
    <dataValidation type="list" allowBlank="1" showInputMessage="1" showErrorMessage="1" prompt="Select YES or NO" sqref="H179">
      <formula1>"YES,NO"</formula1>
    </dataValidation>
    <dataValidation type="list" allowBlank="1" showInputMessage="1" showErrorMessage="1" prompt="Select YES or NO" sqref="D180">
      <formula1>"YES,NO"</formula1>
    </dataValidation>
    <dataValidation type="list" allowBlank="1" showInputMessage="1" showErrorMessage="1" prompt="Select YES or NO" sqref="E180">
      <formula1>"YES,NO"</formula1>
    </dataValidation>
    <dataValidation type="list" allowBlank="1" showInputMessage="1" showErrorMessage="1" prompt="Select YES or NO" sqref="H180">
      <formula1>"YES,NO"</formula1>
    </dataValidation>
    <dataValidation type="list" allowBlank="1" showInputMessage="1" showErrorMessage="1" prompt="Select YES or NO" sqref="D181">
      <formula1>"YES,NO"</formula1>
    </dataValidation>
    <dataValidation type="list" allowBlank="1" showInputMessage="1" showErrorMessage="1" prompt="Select YES or NO" sqref="E181">
      <formula1>"YES,NO"</formula1>
    </dataValidation>
    <dataValidation type="list" allowBlank="1" showInputMessage="1" showErrorMessage="1" prompt="Select YES or NO" sqref="H181">
      <formula1>"YES,NO"</formula1>
    </dataValidation>
    <dataValidation type="list" allowBlank="1" showInputMessage="1" showErrorMessage="1" prompt="Select YES or NO" sqref="D182">
      <formula1>"YES,NO"</formula1>
    </dataValidation>
    <dataValidation type="list" allowBlank="1" showInputMessage="1" showErrorMessage="1" prompt="Select YES or NO" sqref="E182">
      <formula1>"YES,NO"</formula1>
    </dataValidation>
    <dataValidation type="list" allowBlank="1" showInputMessage="1" showErrorMessage="1" prompt="Select YES or NO" sqref="H182">
      <formula1>"YES,NO"</formula1>
    </dataValidation>
    <dataValidation type="list" allowBlank="1" showInputMessage="1" showErrorMessage="1" prompt="Select YES or NO" sqref="D183">
      <formula1>"YES,NO"</formula1>
    </dataValidation>
    <dataValidation type="list" allowBlank="1" showInputMessage="1" showErrorMessage="1" prompt="Select YES or NO" sqref="E183">
      <formula1>"YES,NO"</formula1>
    </dataValidation>
    <dataValidation type="list" allowBlank="1" showInputMessage="1" showErrorMessage="1" prompt="Select YES or NO" sqref="H183">
      <formula1>"YES,NO"</formula1>
    </dataValidation>
    <dataValidation type="list" allowBlank="1" showInputMessage="1" showErrorMessage="1" prompt="Select YES or NO" sqref="D184">
      <formula1>"YES,NO"</formula1>
    </dataValidation>
    <dataValidation type="list" allowBlank="1" showInputMessage="1" showErrorMessage="1" prompt="Select YES or NO" sqref="E184">
      <formula1>"YES,NO"</formula1>
    </dataValidation>
    <dataValidation type="list" allowBlank="1" showInputMessage="1" showErrorMessage="1" prompt="Select YES or NO" sqref="H184">
      <formula1>"YES,NO"</formula1>
    </dataValidation>
    <dataValidation type="list" allowBlank="1" showInputMessage="1" showErrorMessage="1" prompt="Select YES or NO" sqref="D185">
      <formula1>"YES,NO"</formula1>
    </dataValidation>
    <dataValidation type="list" allowBlank="1" showInputMessage="1" showErrorMessage="1" prompt="Select YES or NO" sqref="E185">
      <formula1>"YES,NO"</formula1>
    </dataValidation>
    <dataValidation type="list" allowBlank="1" showInputMessage="1" showErrorMessage="1" prompt="Select YES or NO" sqref="H185">
      <formula1>"YES,NO"</formula1>
    </dataValidation>
    <dataValidation type="list" allowBlank="1" showInputMessage="1" showErrorMessage="1" prompt="Select YES or NO" sqref="D186">
      <formula1>"YES,NO"</formula1>
    </dataValidation>
    <dataValidation type="list" allowBlank="1" showInputMessage="1" showErrorMessage="1" prompt="Select YES or NO" sqref="E186">
      <formula1>"YES,NO"</formula1>
    </dataValidation>
    <dataValidation type="list" allowBlank="1" showInputMessage="1" showErrorMessage="1" prompt="Select YES or NO" sqref="H186">
      <formula1>"YES,NO"</formula1>
    </dataValidation>
    <dataValidation type="list" allowBlank="1" showInputMessage="1" showErrorMessage="1" prompt="Select YES or NO" sqref="D187">
      <formula1>"YES,NO"</formula1>
    </dataValidation>
    <dataValidation type="list" allowBlank="1" showInputMessage="1" showErrorMessage="1" prompt="Select YES or NO" sqref="E187">
      <formula1>"YES,NO"</formula1>
    </dataValidation>
    <dataValidation type="list" allowBlank="1" showInputMessage="1" showErrorMessage="1" prompt="Select YES or NO" sqref="H187">
      <formula1>"YES,NO"</formula1>
    </dataValidation>
    <dataValidation type="list" allowBlank="1" showInputMessage="1" showErrorMessage="1" prompt="Select YES or NO" sqref="D188">
      <formula1>"YES,NO"</formula1>
    </dataValidation>
    <dataValidation type="list" allowBlank="1" showInputMessage="1" showErrorMessage="1" prompt="Select YES or NO" sqref="E188">
      <formula1>"YES,NO"</formula1>
    </dataValidation>
    <dataValidation type="list" allowBlank="1" showInputMessage="1" showErrorMessage="1" prompt="Select YES or NO" sqref="H188">
      <formula1>"YES,NO"</formula1>
    </dataValidation>
    <dataValidation type="list" allowBlank="1" showInputMessage="1" showErrorMessage="1" prompt="Select YES or NO" sqref="D189">
      <formula1>"YES,NO"</formula1>
    </dataValidation>
    <dataValidation type="list" allowBlank="1" showInputMessage="1" showErrorMessage="1" prompt="Select YES or NO" sqref="E189">
      <formula1>"YES,NO"</formula1>
    </dataValidation>
    <dataValidation type="list" allowBlank="1" showInputMessage="1" showErrorMessage="1" prompt="Select YES or NO" sqref="H189">
      <formula1>"YES,NO"</formula1>
    </dataValidation>
    <dataValidation type="list" allowBlank="1" showInputMessage="1" showErrorMessage="1" prompt="Select YES or NO" sqref="D190">
      <formula1>"YES,NO"</formula1>
    </dataValidation>
    <dataValidation type="list" allowBlank="1" showInputMessage="1" showErrorMessage="1" prompt="Select YES or NO" sqref="E190">
      <formula1>"YES,NO"</formula1>
    </dataValidation>
    <dataValidation type="list" allowBlank="1" showInputMessage="1" showErrorMessage="1" prompt="Select YES or NO" sqref="H190">
      <formula1>"YES,NO"</formula1>
    </dataValidation>
    <dataValidation type="list" allowBlank="1" showInputMessage="1" showErrorMessage="1" prompt="Select YES or NO" sqref="D191">
      <formula1>"YES,NO"</formula1>
    </dataValidation>
    <dataValidation type="list" allowBlank="1" showInputMessage="1" showErrorMessage="1" prompt="Select YES or NO" sqref="E191">
      <formula1>"YES,NO"</formula1>
    </dataValidation>
    <dataValidation type="list" allowBlank="1" showInputMessage="1" showErrorMessage="1" prompt="Select YES or NO" sqref="H191">
      <formula1>"YES,NO"</formula1>
    </dataValidation>
    <dataValidation type="list" allowBlank="1" showInputMessage="1" showErrorMessage="1" prompt="Select YES or NO" sqref="D192">
      <formula1>"YES,NO"</formula1>
    </dataValidation>
    <dataValidation type="list" allowBlank="1" showInputMessage="1" showErrorMessage="1" prompt="Select YES or NO" sqref="E192">
      <formula1>"YES,NO"</formula1>
    </dataValidation>
    <dataValidation type="list" allowBlank="1" showInputMessage="1" showErrorMessage="1" prompt="Select YES or NO" sqref="H192">
      <formula1>"YES,NO"</formula1>
    </dataValidation>
    <dataValidation type="list" allowBlank="1" showInputMessage="1" showErrorMessage="1" prompt="Select YES or NO" sqref="D193">
      <formula1>"YES,NO"</formula1>
    </dataValidation>
    <dataValidation type="list" allowBlank="1" showInputMessage="1" showErrorMessage="1" prompt="Select YES or NO" sqref="E193">
      <formula1>"YES,NO"</formula1>
    </dataValidation>
    <dataValidation type="list" allowBlank="1" showInputMessage="1" showErrorMessage="1" prompt="Select YES or NO" sqref="H193">
      <formula1>"YES,NO"</formula1>
    </dataValidation>
    <dataValidation type="list" allowBlank="1" showInputMessage="1" showErrorMessage="1" prompt="Select YES or NO" sqref="D194">
      <formula1>"YES,NO"</formula1>
    </dataValidation>
    <dataValidation type="list" allowBlank="1" showInputMessage="1" showErrorMessage="1" prompt="Select YES or NO" sqref="E194">
      <formula1>"YES,NO"</formula1>
    </dataValidation>
    <dataValidation type="list" allowBlank="1" showInputMessage="1" showErrorMessage="1" prompt="Select YES or NO" sqref="H194">
      <formula1>"YES,NO"</formula1>
    </dataValidation>
    <dataValidation type="list" allowBlank="1" showInputMessage="1" showErrorMessage="1" prompt="Select YES or NO" sqref="D195">
      <formula1>"YES,NO"</formula1>
    </dataValidation>
    <dataValidation type="list" allowBlank="1" showInputMessage="1" showErrorMessage="1" prompt="Select YES or NO" sqref="E195">
      <formula1>"YES,NO"</formula1>
    </dataValidation>
    <dataValidation type="list" allowBlank="1" showInputMessage="1" showErrorMessage="1" prompt="Select YES or NO" sqref="H195">
      <formula1>"YES,NO"</formula1>
    </dataValidation>
    <dataValidation type="list" allowBlank="1" showInputMessage="1" showErrorMessage="1" prompt="Select YES or NO" sqref="D196">
      <formula1>"YES,NO"</formula1>
    </dataValidation>
    <dataValidation type="list" allowBlank="1" showInputMessage="1" showErrorMessage="1" prompt="Select YES or NO" sqref="E196">
      <formula1>"YES,NO"</formula1>
    </dataValidation>
    <dataValidation type="list" allowBlank="1" showInputMessage="1" showErrorMessage="1" prompt="Select YES or NO" sqref="H196">
      <formula1>"YES,NO"</formula1>
    </dataValidation>
    <dataValidation type="list" allowBlank="1" showInputMessage="1" showErrorMessage="1" prompt="Select YES or NO" sqref="D197">
      <formula1>"YES,NO"</formula1>
    </dataValidation>
    <dataValidation type="list" allowBlank="1" showInputMessage="1" showErrorMessage="1" prompt="Select YES or NO" sqref="E197">
      <formula1>"YES,NO"</formula1>
    </dataValidation>
    <dataValidation type="list" allowBlank="1" showInputMessage="1" showErrorMessage="1" prompt="Select YES or NO" sqref="H197">
      <formula1>"YES,NO"</formula1>
    </dataValidation>
    <dataValidation type="list" allowBlank="1" showInputMessage="1" showErrorMessage="1" prompt="Select YES or NO" sqref="D198">
      <formula1>"YES,NO"</formula1>
    </dataValidation>
    <dataValidation type="list" allowBlank="1" showInputMessage="1" showErrorMessage="1" prompt="Select YES or NO" sqref="E198">
      <formula1>"YES,NO"</formula1>
    </dataValidation>
    <dataValidation type="list" allowBlank="1" showInputMessage="1" showErrorMessage="1" prompt="Select YES or NO" sqref="H198">
      <formula1>"YES,NO"</formula1>
    </dataValidation>
    <dataValidation type="list" allowBlank="1" showInputMessage="1" showErrorMessage="1" prompt="Select YES or NO" sqref="D199">
      <formula1>"YES,NO"</formula1>
    </dataValidation>
    <dataValidation type="list" allowBlank="1" showInputMessage="1" showErrorMessage="1" prompt="Select YES or NO" sqref="E199">
      <formula1>"YES,NO"</formula1>
    </dataValidation>
    <dataValidation type="list" allowBlank="1" showInputMessage="1" showErrorMessage="1" prompt="Select YES or NO" sqref="H199">
      <formula1>"YES,NO"</formula1>
    </dataValidation>
    <dataValidation type="list" allowBlank="1" showInputMessage="1" showErrorMessage="1" prompt="Select YES or NO" sqref="D200">
      <formula1>"YES,NO"</formula1>
    </dataValidation>
    <dataValidation type="list" allowBlank="1" showInputMessage="1" showErrorMessage="1" prompt="Select YES or NO" sqref="E200">
      <formula1>"YES,NO"</formula1>
    </dataValidation>
    <dataValidation type="list" allowBlank="1" showInputMessage="1" showErrorMessage="1" prompt="Select YES or NO" sqref="H200">
      <formula1>"YES,NO"</formula1>
    </dataValidation>
    <dataValidation type="list" allowBlank="1" showInputMessage="1" showErrorMessage="1" prompt="Select YES or NO" sqref="D201">
      <formula1>"YES,NO"</formula1>
    </dataValidation>
    <dataValidation type="list" allowBlank="1" showInputMessage="1" showErrorMessage="1" prompt="Select YES or NO" sqref="E201">
      <formula1>"YES,NO"</formula1>
    </dataValidation>
    <dataValidation type="list" allowBlank="1" showInputMessage="1" showErrorMessage="1" prompt="Select YES or NO" sqref="H201">
      <formula1>"YES,NO"</formula1>
    </dataValidation>
    <dataValidation type="list" allowBlank="1" showInputMessage="1" showErrorMessage="1" prompt="Select YES or NO" sqref="D202">
      <formula1>"YES,NO"</formula1>
    </dataValidation>
    <dataValidation type="list" allowBlank="1" showInputMessage="1" showErrorMessage="1" prompt="Select YES or NO" sqref="E202">
      <formula1>"YES,NO"</formula1>
    </dataValidation>
    <dataValidation type="list" allowBlank="1" showInputMessage="1" showErrorMessage="1" prompt="Select YES or NO" sqref="H202">
      <formula1>"YES,NO"</formula1>
    </dataValidation>
    <dataValidation type="list" allowBlank="1" showInputMessage="1" showErrorMessage="1" prompt="Select YES or NO" sqref="D203">
      <formula1>"YES,NO"</formula1>
    </dataValidation>
    <dataValidation type="list" allowBlank="1" showInputMessage="1" showErrorMessage="1" prompt="Select YES or NO" sqref="E203">
      <formula1>"YES,NO"</formula1>
    </dataValidation>
    <dataValidation type="list" allowBlank="1" showInputMessage="1" showErrorMessage="1" prompt="Select YES or NO" sqref="H203">
      <formula1>"YES,NO"</formula1>
    </dataValidation>
    <dataValidation type="list" allowBlank="1" showInputMessage="1" showErrorMessage="1" prompt="Select YES or NO" sqref="D204">
      <formula1>"YES,NO"</formula1>
    </dataValidation>
    <dataValidation type="list" allowBlank="1" showInputMessage="1" showErrorMessage="1" prompt="Select YES or NO" sqref="E204">
      <formula1>"YES,NO"</formula1>
    </dataValidation>
    <dataValidation type="list" allowBlank="1" showInputMessage="1" showErrorMessage="1" prompt="Select YES or NO" sqref="H204">
      <formula1>"YES,NO"</formula1>
    </dataValidation>
    <dataValidation type="list" allowBlank="1" showInputMessage="1" showErrorMessage="1" prompt="Select YES or NO" sqref="D205">
      <formula1>"YES,NO"</formula1>
    </dataValidation>
    <dataValidation type="list" allowBlank="1" showInputMessage="1" showErrorMessage="1" prompt="Select YES or NO" sqref="E205">
      <formula1>"YES,NO"</formula1>
    </dataValidation>
    <dataValidation type="list" allowBlank="1" showInputMessage="1" showErrorMessage="1" prompt="Select YES or NO" sqref="H205">
      <formula1>"YES,NO"</formula1>
    </dataValidation>
    <dataValidation type="list" allowBlank="1" showInputMessage="1" showErrorMessage="1" prompt="Select YES or NO" sqref="D206">
      <formula1>"YES,NO"</formula1>
    </dataValidation>
    <dataValidation type="list" allowBlank="1" showInputMessage="1" showErrorMessage="1" prompt="Select YES or NO" sqref="E206">
      <formula1>"YES,NO"</formula1>
    </dataValidation>
    <dataValidation type="list" allowBlank="1" showInputMessage="1" showErrorMessage="1" prompt="Select YES or NO" sqref="H206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2026-02-18T00:23:30Z</dcterms:created>
  <dcterms:modified xsi:type="dcterms:W3CDTF">2026-02-18T00:23:30Z</dcterms:modified>
</cp:coreProperties>
</file>